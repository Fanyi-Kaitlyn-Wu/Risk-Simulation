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0 Cases\NGS SRACase\"/>
    </mc:Choice>
  </mc:AlternateContent>
  <xr:revisionPtr revIDLastSave="0" documentId="13_ncr:1_{4D3F45ED-6A46-416B-9A5C-75B36FD817B4}" xr6:coauthVersionLast="47" xr6:coauthVersionMax="47" xr10:uidLastSave="{00000000-0000-0000-0000-000000000000}"/>
  <bookViews>
    <workbookView xWindow="2295" yWindow="1470" windowWidth="25590" windowHeight="14025" activeTab="2" xr2:uid="{00000000-000D-0000-FFFF-FFFF00000000}"/>
  </bookViews>
  <sheets>
    <sheet name="Version" sheetId="5" r:id="rId1"/>
    <sheet name="Instructions" sheetId="3" r:id="rId2"/>
    <sheet name="Front sheet" sheetId="2" r:id="rId3"/>
    <sheet name="Work sheet 1" sheetId="1" state="hidden" r:id="rId4"/>
  </sheets>
  <externalReferences>
    <externalReference r:id="rId5"/>
    <externalReference r:id="rId6"/>
    <externalReference r:id="rId7"/>
    <externalReference r:id="rId8"/>
  </externalReferences>
  <definedNames>
    <definedName name="_xlnm._FilterDatabase" localSheetId="3" hidden="1">'Work sheet 1'!$AX$7:$AY$7</definedName>
    <definedName name="C_1" localSheetId="0">OFFSET('[1]Worksheet 1'!$BF$10,0,0,'[1]Worksheet 1'!$E$3-1,1)</definedName>
    <definedName name="C_1">OFFSET('[2]Worksheet 1'!$BF$9,0,0,'[2]Worksheet 1'!$E$3,1)</definedName>
    <definedName name="C_2" localSheetId="0">OFFSET('[1]Worksheet 1'!$BG$10,0,0,'[1]Worksheet 1'!$E$3-1,1)</definedName>
    <definedName name="C_2">OFFSET('[2]Worksheet 1'!$BG$9,0,0,'[2]Worksheet 1'!$E$3,1)</definedName>
    <definedName name="Category">OFFSET('[3]Worksheet 1'!$I$9,0,0,'[3]Worksheet 1'!$D$6,1)</definedName>
    <definedName name="Change_1" localSheetId="0">OFFSET('[4]Work sheet 1'!$BD$9,0,6,'[4]Work sheet 1'!$E$3,1)</definedName>
    <definedName name="Change_1">OFFSET('Work sheet 1'!$BD$9,0,6,'Work sheet 1'!$E$3,1)</definedName>
    <definedName name="Change_2" localSheetId="0">OFFSET('[4]Work sheet 1'!$BD$9,0,7,'[4]Work sheet 1'!$E$3,1)</definedName>
    <definedName name="Change_2">OFFSET('Work sheet 1'!$BD$9,0,7,'Work sheet 1'!$E$3,1)</definedName>
    <definedName name="Change_3" localSheetId="0">OFFSET('[4]Work sheet 1'!$BD$9,0,8,'[4]Work sheet 1'!$E$3,1)</definedName>
    <definedName name="Change_3">OFFSET('Work sheet 1'!$BD$9,0,8,'Work sheet 1'!$E$3,1)</definedName>
    <definedName name="change_4" localSheetId="0">OFFSET('[4]Work sheet 1'!$BD$9,0,9,'[4]Work sheet 1'!$E$3,1)</definedName>
    <definedName name="change_4">OFFSET('Work sheet 1'!$BD$9,0,9,'Work sheet 1'!$E$3,1)</definedName>
    <definedName name="Concern" localSheetId="0">OFFSET('[1]Worksheet 1'!$AR$10,0,0,'[1]Worksheet 1'!$E$3-1,1)</definedName>
    <definedName name="Concern">OFFSET('[2]Worksheet 1'!$AR$9,0,0,'[2]Worksheet 1'!$E$3,1)</definedName>
    <definedName name="Cum_Tally" localSheetId="0">OFFSET('[4]Work sheet 1'!$D$9,0,2,'[4]Work sheet 1'!$E$3,1)</definedName>
    <definedName name="Cum_Tally">OFFSET('Work sheet 1'!$D$9,0,2,'Work sheet 1'!$E$3,1)</definedName>
    <definedName name="CumlPercentage">OFFSET('[3]Worksheet 1'!$K$9,0,0,'[3]Worksheet 1'!$D$6,1)</definedName>
    <definedName name="Date_format" localSheetId="0">[3]Lookup!$A$2:$A$4</definedName>
    <definedName name="Date_format">'Front sheet'!$AX$5:$AX$6</definedName>
    <definedName name="Denom" localSheetId="0">OFFSET('[4]Work sheet 1'!$E$9,0,0,'[4]Work sheet 1'!$F$3,1)</definedName>
    <definedName name="Denom">OFFSET('Work sheet 1'!$E$9,0,0,'Work sheet 1'!$F$3,1)</definedName>
    <definedName name="Denom0" localSheetId="0">OFFSET('[4]Work sheet 1'!$E$9,0,0,'[4]Work sheet 1'!$E$3,1)</definedName>
    <definedName name="Denom0">OFFSET('Work sheet 1'!$E$9,0,0,'Work sheet 1'!$E$3,1)</definedName>
    <definedName name="Denom2" localSheetId="0">OFFSET('[4]Work sheet 1'!$E$8,'[4]Work sheet 1'!$E$4,0,'[4]Work sheet 1'!$F$4,1)</definedName>
    <definedName name="Denom2">OFFSET('Work sheet 1'!$E$8,'Work sheet 1'!$E$4,0,'Work sheet 1'!$F$4,1)</definedName>
    <definedName name="Denom3" localSheetId="0">OFFSET('[4]Work sheet 1'!$E$8,'[4]Work sheet 1'!$E$5,0,'[4]Work sheet 1'!$F$5,1)</definedName>
    <definedName name="Denom3">OFFSET('Work sheet 1'!$E$8,'Work sheet 1'!$E$5,0,'Work sheet 1'!$F$5,1)</definedName>
    <definedName name="Denom4" localSheetId="0">OFFSET('[4]Work sheet 1'!$E$8,'[4]Work sheet 1'!$E$6,0,'[4]Work sheet 1'!$F$6,1)</definedName>
    <definedName name="Denom4">OFFSET('Work sheet 1'!$E$8,'Work sheet 1'!$E$6,0,'Work sheet 1'!$F$6,1)</definedName>
    <definedName name="Denom5" localSheetId="0">OFFSET('[4]Work sheet 1'!$E$8,'[4]Work sheet 1'!$E$7,0,'[4]Work sheet 1'!$F$7,1)</definedName>
    <definedName name="Denom5">OFFSET('Work sheet 1'!$E$8,'Work sheet 1'!$E$7,0,'Work sheet 1'!$F$7,1)</definedName>
    <definedName name="I_1" localSheetId="0">OFFSET('[1]Worksheet 1'!$AZ$10,0,0,'[1]Worksheet 1'!$E$3-1,1)</definedName>
    <definedName name="I_1">OFFSET('[2]Worksheet 1'!$AZ$9,0,0,'[2]Worksheet 1'!$E$3,1)</definedName>
    <definedName name="I_2" localSheetId="0">OFFSET('[1]Worksheet 1'!$BA$10,0,0,'[1]Worksheet 1'!$E$3-1,1)</definedName>
    <definedName name="I_2">OFFSET('[2]Worksheet 1'!$BA$9,0,0,'[2]Worksheet 1'!$E$3,1)</definedName>
    <definedName name="I_3" localSheetId="0">OFFSET('[1]Worksheet 1'!$BB$10,0,0,'[1]Worksheet 1'!$E$3-1,1)</definedName>
    <definedName name="I_3">OFFSET('[2]Worksheet 1'!$BB$9,0,0,'[2]Worksheet 1'!$E$3,1)</definedName>
    <definedName name="I_4" localSheetId="0">OFFSET('[1]Worksheet 1'!$BC$10,0,0,'[1]Worksheet 1'!$E$3-1,1)</definedName>
    <definedName name="I_4">OFFSET('[2]Worksheet 1'!$BC$9,0,0,'[2]Worksheet 1'!$E$3,1)</definedName>
    <definedName name="I_5" localSheetId="0">OFFSET('[1]Worksheet 1'!$BD$10,0,0,'[1]Worksheet 1'!$E$3-1,1)</definedName>
    <definedName name="I_5">OFFSET('[2]Worksheet 1'!$BD$9,0,0,'[2]Worksheet 1'!$E$3,1)</definedName>
    <definedName name="I_CC" localSheetId="0">OFFSET('[4]Work sheet 1'!$BR$9,0,0,'[4]Work sheet 1'!$E$3,1)</definedName>
    <definedName name="I_CC">OFFSET('Work sheet 1'!$BR$9,0,0,'Work sheet 1'!$E$3,1)</definedName>
    <definedName name="I_Fail" localSheetId="0">OFFSET('[4]Work sheet 1'!$CI$9,0,0,'[4]Work sheet 1'!$E$3,1)</definedName>
    <definedName name="I_Fail">OFFSET('Work sheet 1'!$CI$9,0,0,'Work sheet 1'!$E$3,1)</definedName>
    <definedName name="I_Flip" localSheetId="0">OFFSET('[4]Work sheet 1'!$CJ$9,0,0,'[4]Work sheet 1'!$E$3,1)</definedName>
    <definedName name="I_Flip">OFFSET('Work sheet 1'!$CJ$9,0,0,'Work sheet 1'!$E$3,1)</definedName>
    <definedName name="I_Pass" localSheetId="0">OFFSET('[4]Work sheet 1'!$CH$9,0,0,'[4]Work sheet 1'!$E$3,1)</definedName>
    <definedName name="I_Pass">OFFSET('Work sheet 1'!$CH$9,0,0,'Work sheet 1'!$E$3,1)</definedName>
    <definedName name="I_SCCH" localSheetId="0">OFFSET('[4]Work sheet 1'!$BT$9,0,0,'[4]Work sheet 1'!$E$3,1)</definedName>
    <definedName name="I_SCCH">OFFSET('Work sheet 1'!$BT$9,0,0,'Work sheet 1'!$E$3,1)</definedName>
    <definedName name="I_SCCL" localSheetId="0">OFFSET('[4]Work sheet 1'!$BX$9,0,0,'[4]Work sheet 1'!$E$3,1)</definedName>
    <definedName name="I_SCCL">OFFSET('Work sheet 1'!$BX$9,0,0,'Work sheet 1'!$E$3,1)</definedName>
    <definedName name="I_SCIH" localSheetId="0">OFFSET('[4]Work sheet 1'!$BS$9,0,0,'[4]Work sheet 1'!$E$3,1)</definedName>
    <definedName name="I_SCIH">OFFSET('Work sheet 1'!$BS$9,0,0,'Work sheet 1'!$E$3,1)</definedName>
    <definedName name="I_SCIL" localSheetId="0">OFFSET('[4]Work sheet 1'!$BW$9,0,0,'[4]Work sheet 1'!$E$3,1)</definedName>
    <definedName name="I_SCIL">OFFSET('Work sheet 1'!$BW$9,0,0,'Work sheet 1'!$E$3,1)</definedName>
    <definedName name="Improvement" localSheetId="0">'[4]Front sheet'!$BE$5:$BE$7</definedName>
    <definedName name="Improvement">'Front sheet'!$BE$5:$BE$7</definedName>
    <definedName name="Intv1" localSheetId="0">OFFSET('[4]Work sheet 1'!$BD$9,0,0,'[4]Work sheet 1'!$E$3,1)</definedName>
    <definedName name="Intv1">OFFSET('Work sheet 1'!$BD$9,0,0,'Work sheet 1'!$E$3,1)</definedName>
    <definedName name="Intv2" localSheetId="0">OFFSET('[4]Work sheet 1'!$BD$9,0,1,'[4]Work sheet 1'!$E$3,1)</definedName>
    <definedName name="Intv2">OFFSET('Work sheet 1'!$BD$9,0,1,'Work sheet 1'!$E$3,1)</definedName>
    <definedName name="Intv3" localSheetId="0">OFFSET('[4]Work sheet 1'!$BD$9,0,2,'[4]Work sheet 1'!$E$3,1)</definedName>
    <definedName name="Intv3">OFFSET('Work sheet 1'!$BD$9,0,2,'Work sheet 1'!$E$3,1)</definedName>
    <definedName name="Intv4" localSheetId="0">OFFSET('[4]Work sheet 1'!$BD$9,0,3,'[4]Work sheet 1'!$E$3,1)</definedName>
    <definedName name="Intv4">OFFSET('Work sheet 1'!$BD$9,0,3,'Work sheet 1'!$E$3,1)</definedName>
    <definedName name="Intv5" localSheetId="0">OFFSET('[4]Work sheet 1'!$BD$9,0,4,'[4]Work sheet 1'!$E$3,1)</definedName>
    <definedName name="Intv5">OFFSET('Work sheet 1'!$BD$9,0,4,'Work sheet 1'!$E$3,1)</definedName>
    <definedName name="LCL" localSheetId="0">OFFSET('[4]Work sheet 1'!$I$9,0,0,'[4]Work sheet 1'!$E$3,1)</definedName>
    <definedName name="LCL">OFFSET('Work sheet 1'!$I$9,0,0,'Work sheet 1'!$E$3,1)</definedName>
    <definedName name="LPL" localSheetId="0">OFFSET('[1]Worksheet 1'!$I$10,0,0,'[1]Worksheet 1'!$E$3-1,1)</definedName>
    <definedName name="LPL">OFFSET('[2]Worksheet 1'!$I$9,0,0,'[2]Worksheet 1'!$E$3,1)</definedName>
    <definedName name="Mean" localSheetId="0">OFFSET('[4]Work sheet 1'!$G$9,0,0,'[4]Work sheet 1'!$E$3,1)</definedName>
    <definedName name="Mean">OFFSET('Work sheet 1'!$G$9,0,0,'Work sheet 1'!$E$3,1)</definedName>
    <definedName name="Measure" localSheetId="0">OFFSET('[4]Work sheet 1'!$F$9,0,0,'[4]Work sheet 1'!$E$3,1)</definedName>
    <definedName name="Measure">OFFSET('Work sheet 1'!$F$9,0,0,'Work sheet 1'!$E$3,1)</definedName>
    <definedName name="Measure_2" localSheetId="0">OFFSET('[4]Work sheet 1'!$AK$9,0,0,'[4]Work sheet 1'!$E$3,1)</definedName>
    <definedName name="Measure_2">OFFSET('Work sheet 1'!$AK$9,0,0,'Work sheet 1'!$E$3,1)</definedName>
    <definedName name="Moving_range" localSheetId="0">OFFSET('[4]Work sheet 1'!$L$9,1,0,IF('[4]Work sheet 1'!$E$3=1,1,'[4]Work sheet 1'!$E$3-1),1)</definedName>
    <definedName name="Moving_range">OFFSET('Work sheet 1'!$L$9,1,0,IF('Work sheet 1'!$E$3=1,1,'Work sheet 1'!$E$3-1),1)</definedName>
    <definedName name="MR_1" localSheetId="0">OFFSET('[4]Work sheet 1'!$L$9,1,0,'[4]Work sheet 1'!$F$3-1,1)</definedName>
    <definedName name="MR_1">OFFSET('Work sheet 1'!$L$9,1,0,'Work sheet 1'!$F$3-1,1)</definedName>
    <definedName name="MR_2">OFFSET('[1]Worksheet 1'!$L$10,'[1]Worksheet 1'!$E$4,0,'[1]Worksheet 1'!$E$6-1,1)</definedName>
    <definedName name="MR_3">OFFSET('[1]Worksheet 1'!$L$10,'[1]Worksheet 1'!$E$5,0,'[1]Worksheet 1'!$E$3-'[1]Worksheet 1'!$E$5-1,1)</definedName>
    <definedName name="MR_CL2" localSheetId="0">OFFSET('[4]Work sheet 1'!$O$9,1,0,IF('[4]Work sheet 1'!$E$3=1,1,'[4]Work sheet 1'!$E$3-1),1)</definedName>
    <definedName name="MR_CL2">OFFSET('Work sheet 1'!$O$9,1,0,IF('Work sheet 1'!$E$3=1,1,'Work sheet 1'!$E$3-1),1)</definedName>
    <definedName name="MR_high_point" localSheetId="0">OFFSET('[4]Work sheet 1'!$AL$9,1,0,IF('[4]Work sheet 1'!$E$3=1,1,'[4]Work sheet 1'!$E$3-1),1)</definedName>
    <definedName name="MR_high_point">OFFSET('Work sheet 1'!$AL$9,1,0,IF('Work sheet 1'!$E$3=1,1,'Work sheet 1'!$E$3-1),1)</definedName>
    <definedName name="MR2_only" localSheetId="0">OFFSET('[4]Work sheet 1'!$L$9,'[4]Work sheet 1'!$C$6,0,'[4]Work sheet 1'!$F$4,1)</definedName>
    <definedName name="MR2_only">OFFSET('Work sheet 1'!$L$9,'Work sheet 1'!$C$6,0,'Work sheet 1'!$F$4,1)</definedName>
    <definedName name="NeitherDOWN" localSheetId="0">OFFSET('[4]Work sheet 1'!$CD$9,0,0,'[4]Work sheet 1'!$E$3,1)</definedName>
    <definedName name="NeitherDOWN">OFFSET('Work sheet 1'!$CD$9,0,0,'Work sheet 1'!$E$3,1)</definedName>
    <definedName name="NeitherUP" localSheetId="0">OFFSET('[4]Work sheet 1'!$CB$9,0,0,'[4]Work sheet 1'!$E$3,1)</definedName>
    <definedName name="NeitherUP">OFFSET('Work sheet 1'!$CB$9,0,0,'Work sheet 1'!$E$3,1)</definedName>
    <definedName name="Number_type" localSheetId="0">'[4]Front sheet'!$AV$5:$AV$7</definedName>
    <definedName name="Number_type">'Front sheet'!$AV$5:$AV$7</definedName>
    <definedName name="period" localSheetId="0">'[4]Front sheet'!$AN$5:$AN$8</definedName>
    <definedName name="period">'Front sheet'!$AN$5:$AN$8</definedName>
    <definedName name="Rotate" localSheetId="0">'[4]Front sheet'!$AZ$5:$AZ$6</definedName>
    <definedName name="Rotate">'Front sheet'!$AZ$5:$AZ$6</definedName>
    <definedName name="SC_concern" localSheetId="0">OFFSET('[4]Work sheet 1'!$BR$9,0,0,'[4]Work sheet 1'!$E$3,1)</definedName>
    <definedName name="SC_concern">OFFSET('Work sheet 1'!$BR$9,0,0,'Work sheet 1'!$E$3,1)</definedName>
    <definedName name="SCC" localSheetId="0">OFFSET('[4]Work sheet 1'!$AS$9,0,0,'[4]Work sheet 1'!$E$3,1)</definedName>
    <definedName name="SCC">OFFSET('Work sheet 1'!$AS$9,0,0,'Work sheet 1'!$E$3,1)</definedName>
    <definedName name="SCC_Neither" localSheetId="0">OFFSET('[4]Work sheet 1'!$AU$9,0,0,'[4]Work sheet 1'!$E$3,1)</definedName>
    <definedName name="SCC_Neither">OFFSET('Work sheet 1'!$AU$9,0,0,'Work sheet 1'!$E$3,1)</definedName>
    <definedName name="SCi" localSheetId="0">OFFSET('[4]Work sheet 1'!$AT$9,0,0,'[4]Work sheet 1'!$E$3,1)</definedName>
    <definedName name="SCi">OFFSET('Work sheet 1'!$AT$9,0,0,'Work sheet 1'!$E$3,1)</definedName>
    <definedName name="Score">OFFSET('[3]Worksheet 1'!$J$9,0,0,'[3]Worksheet 1'!$D$6,1)</definedName>
    <definedName name="Tally" localSheetId="0">OFFSET('[4]Work sheet 1'!$J$9,0,0,'[4]Work sheet 1'!$F$3,1)</definedName>
    <definedName name="Tally">OFFSET('Work sheet 1'!$J$9,0,0,'Work sheet 1'!$F$3,1)</definedName>
    <definedName name="Tally_CL">OFFSET('[1]Worksheet 1'!$D$10,0,1,IF('[1]Front Sheet'!$P$7&gt;0,'[1]Front Sheet'!$P$7,'[1]Worksheet 1'!$E$3-1),1)</definedName>
    <definedName name="Tally0" localSheetId="0">OFFSET('[4]Work sheet 1'!$J$9,0,0,'[4]Work sheet 1'!$E$3,1)</definedName>
    <definedName name="Tally0">OFFSET('Work sheet 1'!$J$9,0,0,'Work sheet 1'!$E$3,1)</definedName>
    <definedName name="Tally2" localSheetId="0">OFFSET('[4]Work sheet 1'!$J$8,'[4]Work sheet 1'!$E$4,0,'[4]Work sheet 1'!$F$4,1)</definedName>
    <definedName name="Tally2">OFFSET('Work sheet 1'!$J$8,'Work sheet 1'!$E$4,0,'Work sheet 1'!$F$4,1)</definedName>
    <definedName name="Tally2_only">OFFSET('[1]Worksheet 1'!$J$9,'[1]Worksheet 1'!$E$4,0,'[1]Worksheet 1'!$F$4,1)</definedName>
    <definedName name="Tally3" localSheetId="0">OFFSET('[4]Work sheet 1'!$J$8,'[4]Work sheet 1'!$E$5,0,'[4]Work sheet 1'!$F$5,1)</definedName>
    <definedName name="Tally3">OFFSET('Work sheet 1'!$J$8,'Work sheet 1'!$E$5,0,'Work sheet 1'!$F$5,1)</definedName>
    <definedName name="Tally4" localSheetId="0">OFFSET('[4]Work sheet 1'!$J$8,'[4]Work sheet 1'!$E$6,0,'[4]Work sheet 1'!$F$6,1)</definedName>
    <definedName name="Tally4">OFFSET('Work sheet 1'!$J$8,'Work sheet 1'!$E$6,0,'Work sheet 1'!$F$6,1)</definedName>
    <definedName name="Tally5" localSheetId="0">OFFSET('[4]Work sheet 1'!$J$8,'[4]Work sheet 1'!$E$7,0,'[4]Work sheet 1'!$F$7,1)</definedName>
    <definedName name="Tally5">OFFSET('Work sheet 1'!$J$8,'Work sheet 1'!$E$7,0,'Work sheet 1'!$F$7,1)</definedName>
    <definedName name="Target" localSheetId="0">OFFSET('[4]Work sheet 1'!$AP$9,0,0,'[4]Work sheet 1'!$E$3,1)</definedName>
    <definedName name="Target">OFFSET('Work sheet 1'!$AP$9,0,0,'Work sheet 1'!$E$3,1)</definedName>
    <definedName name="UCL" localSheetId="0">OFFSET('[4]Work sheet 1'!$H$9,0,0,'[4]Work sheet 1'!$E$3,1)</definedName>
    <definedName name="UCL">OFFSET('Work sheet 1'!$H$9,0,0,'Work sheet 1'!$E$3,1)</definedName>
    <definedName name="UPL" localSheetId="0">OFFSET('[1]Worksheet 1'!$H$10,0,0,'[1]Worksheet 1'!$E$3-1,1)</definedName>
    <definedName name="UPL">OFFSET('[2]Worksheet 1'!$H$9,0,0,'[2]Worksheet 1'!$E$3,1)</definedName>
    <definedName name="X_Axis" localSheetId="0">OFFSET('[4]Work sheet 1'!$D$9,0,0,'[4]Work sheet 1'!$E$3,1)</definedName>
    <definedName name="X_Axis">OFFSET('Work sheet 1'!$D$9,0,0,'Work sheet 1'!$E$3,1)</definedName>
    <definedName name="X_axis_2">OFFSET('[1]Worksheet 1'!$D$9,0,0,'[1]Worksheet 1'!$E$3-1,1)</definedName>
    <definedName name="Yes" localSheetId="0">'[1]Worksheet 1'!$AV$5:$AV$6</definedName>
    <definedName name="Yes">'Work sheet 1'!$BN$1:$BN$2</definedName>
    <definedName name="YEs_no" localSheetId="0">'[4]Front sheet'!$AP$5:$AP$6</definedName>
    <definedName name="YEs_no">'Front sheet'!$AP$5:$AP$6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 i="2" l="1"/>
  <c r="I9" i="2"/>
  <c r="F9" i="2"/>
  <c r="N9" i="2"/>
  <c r="H9" i="2"/>
  <c r="D9" i="2"/>
  <c r="F9" i="1"/>
  <c r="C2" i="2" l="1"/>
  <c r="BM6" i="1"/>
  <c r="BL6" i="1"/>
  <c r="BK6" i="1"/>
  <c r="BJ6" i="1"/>
  <c r="C1" i="1" l="1"/>
  <c r="D1" i="1" s="1"/>
  <c r="E94" i="1" l="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93" i="1"/>
  <c r="E66" i="1"/>
  <c r="E67" i="1"/>
  <c r="E68" i="1"/>
  <c r="E69" i="1"/>
  <c r="E70" i="1"/>
  <c r="E71" i="1"/>
  <c r="E72" i="1"/>
  <c r="E73" i="1"/>
  <c r="E74" i="1"/>
  <c r="E75" i="1"/>
  <c r="E76" i="1"/>
  <c r="E77" i="1"/>
  <c r="E78" i="1"/>
  <c r="E79" i="1"/>
  <c r="E80" i="1"/>
  <c r="E81" i="1"/>
  <c r="E82" i="1"/>
  <c r="E83" i="1"/>
  <c r="E84" i="1"/>
  <c r="E85" i="1"/>
  <c r="E86" i="1"/>
  <c r="E87" i="1"/>
  <c r="E88" i="1"/>
  <c r="E89" i="1"/>
  <c r="E90" i="1"/>
  <c r="E91" i="1"/>
  <c r="E92" i="1"/>
  <c r="E65"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F93" i="1"/>
  <c r="F37" i="1"/>
  <c r="J93" i="1"/>
  <c r="J66" i="1"/>
  <c r="J67" i="1"/>
  <c r="J68" i="1"/>
  <c r="J69" i="1"/>
  <c r="J70" i="1"/>
  <c r="J71" i="1"/>
  <c r="J72" i="1"/>
  <c r="J73" i="1"/>
  <c r="J74" i="1"/>
  <c r="J75" i="1"/>
  <c r="J76" i="1"/>
  <c r="J77" i="1"/>
  <c r="J78" i="1"/>
  <c r="J79" i="1"/>
  <c r="J80" i="1"/>
  <c r="J81" i="1"/>
  <c r="J82" i="1"/>
  <c r="J83" i="1"/>
  <c r="J84" i="1"/>
  <c r="J85" i="1"/>
  <c r="J86" i="1"/>
  <c r="J87" i="1"/>
  <c r="J88" i="1"/>
  <c r="J89" i="1"/>
  <c r="J90" i="1"/>
  <c r="J91" i="1"/>
  <c r="J92" i="1"/>
  <c r="J38" i="1"/>
  <c r="J39" i="1"/>
  <c r="J40" i="1"/>
  <c r="J41" i="1"/>
  <c r="J42" i="1"/>
  <c r="J43" i="1"/>
  <c r="J44" i="1"/>
  <c r="J45" i="1"/>
  <c r="J46" i="1"/>
  <c r="J47" i="1"/>
  <c r="J48" i="1"/>
  <c r="J49" i="1"/>
  <c r="J50" i="1"/>
  <c r="J51" i="1"/>
  <c r="J52" i="1"/>
  <c r="J53" i="1"/>
  <c r="J54" i="1"/>
  <c r="J55" i="1"/>
  <c r="J56" i="1"/>
  <c r="J57" i="1"/>
  <c r="J58" i="1"/>
  <c r="J59" i="1"/>
  <c r="J60" i="1"/>
  <c r="J61" i="1"/>
  <c r="J62" i="1"/>
  <c r="J63" i="1"/>
  <c r="J64" i="1"/>
  <c r="J37" i="1"/>
  <c r="F38" i="1"/>
  <c r="F39" i="1"/>
  <c r="F40" i="1"/>
  <c r="F41" i="1"/>
  <c r="F42" i="1"/>
  <c r="F43" i="1"/>
  <c r="F44" i="1"/>
  <c r="F45" i="1"/>
  <c r="F46" i="1"/>
  <c r="F47" i="1"/>
  <c r="F48" i="1"/>
  <c r="F49" i="1"/>
  <c r="F50" i="1"/>
  <c r="F51" i="1"/>
  <c r="F52" i="1"/>
  <c r="F53" i="1"/>
  <c r="F54" i="1"/>
  <c r="F55" i="1"/>
  <c r="F56" i="1"/>
  <c r="F57" i="1"/>
  <c r="F58" i="1"/>
  <c r="F59" i="1"/>
  <c r="F60" i="1"/>
  <c r="F61" i="1"/>
  <c r="F62" i="1"/>
  <c r="F63" i="1"/>
  <c r="F64" i="1"/>
  <c r="J65" i="1"/>
  <c r="F65" i="1"/>
  <c r="J10" i="1"/>
  <c r="J11" i="1"/>
  <c r="J12" i="1"/>
  <c r="J13" i="1"/>
  <c r="J14" i="1"/>
  <c r="J15" i="1"/>
  <c r="J16" i="1"/>
  <c r="J17" i="1"/>
  <c r="J18" i="1"/>
  <c r="J19" i="1"/>
  <c r="J20" i="1"/>
  <c r="J21" i="1"/>
  <c r="J22" i="1"/>
  <c r="J23" i="1"/>
  <c r="J24" i="1"/>
  <c r="J25" i="1"/>
  <c r="J26" i="1"/>
  <c r="J27" i="1"/>
  <c r="J28" i="1"/>
  <c r="J29" i="1"/>
  <c r="J30" i="1"/>
  <c r="J31" i="1"/>
  <c r="J32" i="1"/>
  <c r="J33" i="1"/>
  <c r="J34" i="1"/>
  <c r="J35" i="1"/>
  <c r="J36" i="1"/>
  <c r="J9"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5" i="1"/>
  <c r="E6" i="1"/>
  <c r="E7" i="1"/>
  <c r="E4" i="1"/>
  <c r="B93" i="1" l="1"/>
  <c r="AK93" i="1"/>
  <c r="B64" i="1"/>
  <c r="AK64" i="1" s="1"/>
  <c r="B63" i="1"/>
  <c r="AK63" i="1" s="1"/>
  <c r="B61" i="1"/>
  <c r="AK61" i="1" s="1"/>
  <c r="B60" i="1"/>
  <c r="AK60" i="1" s="1"/>
  <c r="B62" i="1"/>
  <c r="AK62" i="1"/>
  <c r="B65" i="1"/>
  <c r="AK65" i="1" s="1"/>
  <c r="AC54" i="1"/>
  <c r="Z54" i="1"/>
  <c r="Z46" i="1"/>
  <c r="AC46" i="1"/>
  <c r="AC61" i="1"/>
  <c r="Z61" i="1"/>
  <c r="AC57" i="1"/>
  <c r="Z57" i="1"/>
  <c r="Z53" i="1"/>
  <c r="AC53" i="1"/>
  <c r="AC49" i="1"/>
  <c r="Z49" i="1"/>
  <c r="AC45" i="1"/>
  <c r="Z45" i="1"/>
  <c r="AC41" i="1"/>
  <c r="Z41" i="1"/>
  <c r="Z58" i="1"/>
  <c r="AC58" i="1"/>
  <c r="Z38" i="1"/>
  <c r="AC38" i="1"/>
  <c r="AC65" i="1"/>
  <c r="Z64" i="1"/>
  <c r="AC64" i="1"/>
  <c r="Z65" i="1"/>
  <c r="Z60" i="1"/>
  <c r="AC60" i="1"/>
  <c r="Z56" i="1"/>
  <c r="AC56" i="1"/>
  <c r="AC52" i="1"/>
  <c r="Z52" i="1"/>
  <c r="Z48" i="1"/>
  <c r="AC48" i="1"/>
  <c r="Z44" i="1"/>
  <c r="AC44" i="1"/>
  <c r="Z40" i="1"/>
  <c r="AC40" i="1"/>
  <c r="Z62" i="1"/>
  <c r="AC62" i="1"/>
  <c r="Z50" i="1"/>
  <c r="AC50" i="1"/>
  <c r="Z42" i="1"/>
  <c r="AC42" i="1"/>
  <c r="AC63" i="1"/>
  <c r="Z63" i="1"/>
  <c r="AC59" i="1"/>
  <c r="Z59" i="1"/>
  <c r="Z55" i="1"/>
  <c r="AC55" i="1"/>
  <c r="AC51" i="1"/>
  <c r="Z51" i="1"/>
  <c r="AC47" i="1"/>
  <c r="Z47" i="1"/>
  <c r="AC43" i="1"/>
  <c r="Z43" i="1"/>
  <c r="AC39" i="1"/>
  <c r="Z39" i="1"/>
  <c r="F94" i="1" l="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66" i="1"/>
  <c r="F67" i="1"/>
  <c r="F68" i="1"/>
  <c r="F69" i="1"/>
  <c r="F70" i="1"/>
  <c r="F71" i="1"/>
  <c r="F72" i="1"/>
  <c r="F73" i="1"/>
  <c r="F74" i="1"/>
  <c r="F75" i="1"/>
  <c r="F76" i="1"/>
  <c r="F77" i="1"/>
  <c r="F78" i="1"/>
  <c r="F79" i="1"/>
  <c r="F80" i="1"/>
  <c r="F81" i="1"/>
  <c r="F82" i="1"/>
  <c r="F83" i="1"/>
  <c r="F84" i="1"/>
  <c r="F85" i="1"/>
  <c r="F86" i="1"/>
  <c r="F87" i="1"/>
  <c r="F88" i="1"/>
  <c r="F89" i="1"/>
  <c r="F90" i="1"/>
  <c r="F91" i="1"/>
  <c r="F92" i="1"/>
  <c r="AK82" i="1" l="1"/>
  <c r="AK66" i="1"/>
  <c r="AK77" i="1"/>
  <c r="AK88" i="1"/>
  <c r="AK76" i="1"/>
  <c r="AK72" i="1"/>
  <c r="AK91" i="1"/>
  <c r="AK83" i="1"/>
  <c r="AK71" i="1"/>
  <c r="AK67" i="1"/>
  <c r="AK101" i="1"/>
  <c r="AK99" i="1"/>
  <c r="AK117" i="1"/>
  <c r="AK106" i="1"/>
  <c r="AK97" i="1"/>
  <c r="AK116" i="1"/>
  <c r="AK95" i="1"/>
  <c r="AK118" i="1"/>
  <c r="AK110" i="1"/>
  <c r="B92" i="1"/>
  <c r="AK92" i="1" s="1"/>
  <c r="B91" i="1"/>
  <c r="B79" i="1"/>
  <c r="AK79" i="1" s="1"/>
  <c r="B90" i="1"/>
  <c r="AK90" i="1" s="1"/>
  <c r="B86" i="1"/>
  <c r="AK86" i="1" s="1"/>
  <c r="B82" i="1"/>
  <c r="B78" i="1"/>
  <c r="AK78" i="1" s="1"/>
  <c r="B74" i="1"/>
  <c r="AK74" i="1" s="1"/>
  <c r="B70" i="1"/>
  <c r="AK70" i="1" s="1"/>
  <c r="B66" i="1"/>
  <c r="B117" i="1"/>
  <c r="B113" i="1"/>
  <c r="AK113" i="1" s="1"/>
  <c r="B109" i="1"/>
  <c r="AK109" i="1" s="1"/>
  <c r="B105" i="1"/>
  <c r="AK105" i="1" s="1"/>
  <c r="B101" i="1"/>
  <c r="B97" i="1"/>
  <c r="B84" i="1"/>
  <c r="AK84" i="1" s="1"/>
  <c r="B83" i="1"/>
  <c r="B89" i="1"/>
  <c r="AK89" i="1" s="1"/>
  <c r="B85" i="1"/>
  <c r="AK85" i="1" s="1"/>
  <c r="B81" i="1"/>
  <c r="AK81" i="1" s="1"/>
  <c r="B77" i="1"/>
  <c r="B73" i="1"/>
  <c r="AK73" i="1" s="1"/>
  <c r="B69" i="1"/>
  <c r="AK69" i="1" s="1"/>
  <c r="B120" i="1"/>
  <c r="AK120" i="1" s="1"/>
  <c r="B116" i="1"/>
  <c r="B112" i="1"/>
  <c r="AK112" i="1" s="1"/>
  <c r="B108" i="1"/>
  <c r="AK108" i="1" s="1"/>
  <c r="B104" i="1"/>
  <c r="AK104" i="1" s="1"/>
  <c r="B100" i="1"/>
  <c r="AK100" i="1" s="1"/>
  <c r="B96" i="1"/>
  <c r="AK96" i="1" s="1"/>
  <c r="B88" i="1"/>
  <c r="B80" i="1"/>
  <c r="AK80" i="1" s="1"/>
  <c r="B76" i="1"/>
  <c r="B72" i="1"/>
  <c r="B68" i="1"/>
  <c r="AK68" i="1" s="1"/>
  <c r="B119" i="1"/>
  <c r="AK119" i="1" s="1"/>
  <c r="B115" i="1"/>
  <c r="AK115" i="1" s="1"/>
  <c r="B111" i="1"/>
  <c r="AK111" i="1" s="1"/>
  <c r="B107" i="1"/>
  <c r="AK107" i="1" s="1"/>
  <c r="B103" i="1"/>
  <c r="AK103" i="1" s="1"/>
  <c r="B99" i="1"/>
  <c r="B95" i="1"/>
  <c r="B87" i="1"/>
  <c r="AK87" i="1" s="1"/>
  <c r="B75" i="1"/>
  <c r="AK75" i="1" s="1"/>
  <c r="B71" i="1"/>
  <c r="B67" i="1"/>
  <c r="B118" i="1"/>
  <c r="B114" i="1"/>
  <c r="AK114" i="1" s="1"/>
  <c r="B110" i="1"/>
  <c r="B106" i="1"/>
  <c r="B102" i="1"/>
  <c r="AK102" i="1" s="1"/>
  <c r="B98" i="1"/>
  <c r="AK98" i="1" s="1"/>
  <c r="B94" i="1"/>
  <c r="AK94" i="1" s="1"/>
  <c r="Z117" i="1"/>
  <c r="AC117" i="1"/>
  <c r="Z113" i="1"/>
  <c r="AC113" i="1"/>
  <c r="Z109" i="1"/>
  <c r="AC109" i="1"/>
  <c r="Z105" i="1"/>
  <c r="AC105" i="1"/>
  <c r="Z101" i="1"/>
  <c r="AC101" i="1"/>
  <c r="AC97" i="1"/>
  <c r="Z97" i="1"/>
  <c r="AC120" i="1"/>
  <c r="Z120" i="1"/>
  <c r="Z116" i="1"/>
  <c r="AC116" i="1"/>
  <c r="Z112" i="1"/>
  <c r="AC112" i="1"/>
  <c r="Z108" i="1"/>
  <c r="AC108" i="1"/>
  <c r="AC104" i="1"/>
  <c r="Z104" i="1"/>
  <c r="AC100" i="1"/>
  <c r="Z100" i="1"/>
  <c r="Z96" i="1"/>
  <c r="AC96" i="1"/>
  <c r="Z119" i="1"/>
  <c r="AC119" i="1"/>
  <c r="Z115" i="1"/>
  <c r="AC115" i="1"/>
  <c r="AC111" i="1"/>
  <c r="Z111" i="1"/>
  <c r="Z107" i="1"/>
  <c r="AC107" i="1"/>
  <c r="Z103" i="1"/>
  <c r="AC103" i="1"/>
  <c r="Z99" i="1"/>
  <c r="AC99" i="1"/>
  <c r="AC95" i="1"/>
  <c r="Z95" i="1"/>
  <c r="AC118" i="1"/>
  <c r="Z118" i="1"/>
  <c r="Z114" i="1"/>
  <c r="AC114" i="1"/>
  <c r="Z110" i="1"/>
  <c r="AC110" i="1"/>
  <c r="AC106" i="1"/>
  <c r="Z106" i="1"/>
  <c r="AC102" i="1"/>
  <c r="Z102" i="1"/>
  <c r="AC98" i="1"/>
  <c r="Z98" i="1"/>
  <c r="Z94" i="1"/>
  <c r="AC94" i="1"/>
  <c r="Z89" i="1"/>
  <c r="AC89" i="1"/>
  <c r="Z85" i="1"/>
  <c r="AC85" i="1"/>
  <c r="Z81" i="1"/>
  <c r="AC81" i="1"/>
  <c r="Z77" i="1"/>
  <c r="AC77" i="1"/>
  <c r="Z73" i="1"/>
  <c r="AC73" i="1"/>
  <c r="Z69" i="1"/>
  <c r="AC69" i="1"/>
  <c r="AC92" i="1"/>
  <c r="AC93" i="1"/>
  <c r="Z93" i="1"/>
  <c r="Z92" i="1"/>
  <c r="AC88" i="1"/>
  <c r="Z88" i="1"/>
  <c r="Z84" i="1"/>
  <c r="AC84" i="1"/>
  <c r="AC80" i="1"/>
  <c r="Z80" i="1"/>
  <c r="AC76" i="1"/>
  <c r="Z76" i="1"/>
  <c r="Z72" i="1"/>
  <c r="AC72" i="1"/>
  <c r="AC68" i="1"/>
  <c r="Z68" i="1"/>
  <c r="Z91" i="1"/>
  <c r="AC91" i="1"/>
  <c r="Z87" i="1"/>
  <c r="AC87" i="1"/>
  <c r="Z83" i="1"/>
  <c r="AC83" i="1"/>
  <c r="Z79" i="1"/>
  <c r="AC79" i="1"/>
  <c r="Z75" i="1"/>
  <c r="AC75" i="1"/>
  <c r="Z71" i="1"/>
  <c r="AC71" i="1"/>
  <c r="Z67" i="1"/>
  <c r="AC67" i="1"/>
  <c r="Z90" i="1"/>
  <c r="AC90" i="1"/>
  <c r="Z86" i="1"/>
  <c r="AC86" i="1"/>
  <c r="Z82" i="1"/>
  <c r="AC82" i="1"/>
  <c r="AC78" i="1"/>
  <c r="Z78" i="1"/>
  <c r="Z74" i="1"/>
  <c r="AC74" i="1"/>
  <c r="AC70" i="1"/>
  <c r="Z70" i="1"/>
  <c r="AC66" i="1"/>
  <c r="Z66" i="1"/>
  <c r="C10" i="2" l="1"/>
  <c r="S7" i="2"/>
  <c r="G9" i="2"/>
  <c r="J9" i="2"/>
  <c r="M9" i="2"/>
  <c r="H41" i="2"/>
  <c r="E1" i="1"/>
  <c r="D2" i="1"/>
  <c r="E2" i="1"/>
  <c r="AL2" i="1"/>
  <c r="AK4" i="1" s="1"/>
  <c r="BQ5" i="1"/>
  <c r="BQ6" i="1" s="1"/>
  <c r="BD6" i="1"/>
  <c r="BE6" i="1"/>
  <c r="BF6" i="1"/>
  <c r="BG6" i="1"/>
  <c r="BH6" i="1"/>
  <c r="AS7" i="1"/>
  <c r="BB8" i="1"/>
  <c r="AK9" i="1"/>
  <c r="F10" i="1"/>
  <c r="F11" i="1"/>
  <c r="F12" i="1"/>
  <c r="F13" i="1"/>
  <c r="F14" i="1"/>
  <c r="F15" i="1"/>
  <c r="F16" i="1"/>
  <c r="F17" i="1"/>
  <c r="F18" i="1"/>
  <c r="F19" i="1"/>
  <c r="F20" i="1"/>
  <c r="F21" i="1"/>
  <c r="F22" i="1"/>
  <c r="F23" i="1"/>
  <c r="F24" i="1"/>
  <c r="F25" i="1"/>
  <c r="F26" i="1"/>
  <c r="F27" i="1"/>
  <c r="F28" i="1"/>
  <c r="F29" i="1"/>
  <c r="F30" i="1"/>
  <c r="F31" i="1"/>
  <c r="F32" i="1"/>
  <c r="F33" i="1"/>
  <c r="F34" i="1"/>
  <c r="F35" i="1"/>
  <c r="F36" i="1"/>
  <c r="B37" i="1"/>
  <c r="AK37" i="1" s="1"/>
  <c r="CL37" i="1"/>
  <c r="CM37" i="1"/>
  <c r="B38" i="1"/>
  <c r="AK38" i="1" s="1"/>
  <c r="CL38" i="1"/>
  <c r="CM38" i="1"/>
  <c r="CL39" i="1"/>
  <c r="CM39" i="1"/>
  <c r="CM42" i="1"/>
  <c r="B43" i="1"/>
  <c r="AK43" i="1" s="1"/>
  <c r="CL43" i="1"/>
  <c r="CM43" i="1"/>
  <c r="CM44" i="1"/>
  <c r="CL50" i="1"/>
  <c r="CM50" i="1"/>
  <c r="B51" i="1"/>
  <c r="AK51" i="1" s="1"/>
  <c r="CL51" i="1"/>
  <c r="CM51" i="1"/>
  <c r="B52" i="1"/>
  <c r="AK52" i="1" s="1"/>
  <c r="CL52" i="1"/>
  <c r="CM52" i="1"/>
  <c r="CL53" i="1"/>
  <c r="B54" i="1"/>
  <c r="AK54" i="1" s="1"/>
  <c r="B56" i="1"/>
  <c r="AK56" i="1" s="1"/>
  <c r="B58" i="1"/>
  <c r="AK58" i="1" s="1"/>
  <c r="CL58" i="1"/>
  <c r="B59" i="1"/>
  <c r="AK59" i="1" s="1"/>
  <c r="CL59" i="1"/>
  <c r="CL62" i="1"/>
  <c r="CM62" i="1"/>
  <c r="CL63" i="1"/>
  <c r="CM63" i="1"/>
  <c r="CL64" i="1"/>
  <c r="CM65" i="1"/>
  <c r="CL66" i="1"/>
  <c r="CM66" i="1"/>
  <c r="CL67" i="1"/>
  <c r="CM67" i="1"/>
  <c r="CL68" i="1"/>
  <c r="CL70" i="1"/>
  <c r="CL71" i="1"/>
  <c r="CM71" i="1"/>
  <c r="CL72" i="1"/>
  <c r="CM73" i="1"/>
  <c r="CL74" i="1"/>
  <c r="CM75" i="1"/>
  <c r="CM82" i="1"/>
  <c r="CL83" i="1"/>
  <c r="CL84" i="1"/>
  <c r="CM84" i="1"/>
  <c r="CL85" i="1"/>
  <c r="CL86" i="1"/>
  <c r="CL87" i="1"/>
  <c r="CL88" i="1"/>
  <c r="CM88" i="1"/>
  <c r="CL89" i="1"/>
  <c r="CL90" i="1"/>
  <c r="CL91" i="1"/>
  <c r="CL92" i="1"/>
  <c r="CM92" i="1"/>
  <c r="CL93" i="1"/>
  <c r="CL94" i="1"/>
  <c r="CL95" i="1"/>
  <c r="CL96" i="1"/>
  <c r="CM96" i="1"/>
  <c r="CL97" i="1"/>
  <c r="CL98" i="1"/>
  <c r="CL99" i="1"/>
  <c r="CL100" i="1"/>
  <c r="CM100" i="1"/>
  <c r="CL101" i="1"/>
  <c r="CM101" i="1"/>
  <c r="CM102" i="1"/>
  <c r="CL103" i="1"/>
  <c r="CM103" i="1"/>
  <c r="CL104" i="1"/>
  <c r="CM104" i="1"/>
  <c r="CL105" i="1"/>
  <c r="CM105" i="1"/>
  <c r="CL106" i="1"/>
  <c r="CM106" i="1"/>
  <c r="Z36" i="1" l="1"/>
  <c r="AC36" i="1"/>
  <c r="Z37" i="1"/>
  <c r="AC37" i="1"/>
  <c r="Z32" i="1"/>
  <c r="AC32" i="1"/>
  <c r="Z28" i="1"/>
  <c r="AC28" i="1"/>
  <c r="AC24" i="1"/>
  <c r="Z24" i="1"/>
  <c r="AC20" i="1"/>
  <c r="Z20" i="1"/>
  <c r="AC16" i="1"/>
  <c r="Z16" i="1"/>
  <c r="AC12" i="1"/>
  <c r="Z12" i="1"/>
  <c r="CL35" i="1"/>
  <c r="Z35" i="1"/>
  <c r="AC35" i="1"/>
  <c r="AC31" i="1"/>
  <c r="Z31" i="1"/>
  <c r="AC27" i="1"/>
  <c r="Z27" i="1"/>
  <c r="Z23" i="1"/>
  <c r="AC23" i="1"/>
  <c r="CL19" i="1"/>
  <c r="Z19" i="1"/>
  <c r="AC19" i="1"/>
  <c r="CM15" i="1"/>
  <c r="Z15" i="1"/>
  <c r="AC15" i="1"/>
  <c r="CL11" i="1"/>
  <c r="Z11" i="1"/>
  <c r="AC11" i="1"/>
  <c r="Z34" i="1"/>
  <c r="AC34" i="1"/>
  <c r="Z30" i="1"/>
  <c r="AC30" i="1"/>
  <c r="Z26" i="1"/>
  <c r="AC26" i="1"/>
  <c r="AC22" i="1"/>
  <c r="Z22" i="1"/>
  <c r="CL18" i="1"/>
  <c r="AC18" i="1"/>
  <c r="Z18" i="1"/>
  <c r="AC14" i="1"/>
  <c r="Z14" i="1"/>
  <c r="CL10" i="1"/>
  <c r="AC10" i="1"/>
  <c r="Z10" i="1"/>
  <c r="Z33" i="1"/>
  <c r="AC33" i="1"/>
  <c r="AC29" i="1"/>
  <c r="Z29" i="1"/>
  <c r="Z25" i="1"/>
  <c r="AC25" i="1"/>
  <c r="Z21" i="1"/>
  <c r="AC21" i="1"/>
  <c r="CM17" i="1"/>
  <c r="Z17" i="1"/>
  <c r="AC17" i="1"/>
  <c r="CL13" i="1"/>
  <c r="Z13" i="1"/>
  <c r="AC13" i="1"/>
  <c r="B19" i="1"/>
  <c r="AK19" i="1" s="1"/>
  <c r="B20" i="1"/>
  <c r="AK20" i="1" s="1"/>
  <c r="CM19" i="1"/>
  <c r="CM13" i="1"/>
  <c r="B11" i="1"/>
  <c r="AK11" i="1" s="1"/>
  <c r="B12" i="1"/>
  <c r="AK12" i="1" s="1"/>
  <c r="CL20" i="1"/>
  <c r="B13" i="1"/>
  <c r="AK13" i="1" s="1"/>
  <c r="CM11" i="1"/>
  <c r="CM12" i="1"/>
  <c r="CM36" i="1"/>
  <c r="B36" i="1"/>
  <c r="AK36" i="1" s="1"/>
  <c r="B35" i="1"/>
  <c r="AK35" i="1" s="1"/>
  <c r="CL16" i="1"/>
  <c r="B10" i="1"/>
  <c r="AK10" i="1" s="1"/>
  <c r="CL36" i="1"/>
  <c r="CM35" i="1"/>
  <c r="CM20" i="1"/>
  <c r="CM41" i="1"/>
  <c r="CM45" i="1"/>
  <c r="B45" i="1"/>
  <c r="AK45" i="1" s="1"/>
  <c r="CL41" i="1"/>
  <c r="B41" i="1"/>
  <c r="AK41" i="1" s="1"/>
  <c r="CM61" i="1"/>
  <c r="CL45" i="1"/>
  <c r="CL102" i="1"/>
  <c r="CM94" i="1"/>
  <c r="CM86" i="1"/>
  <c r="CM64" i="1"/>
  <c r="CL60" i="1"/>
  <c r="CL57" i="1"/>
  <c r="B57" i="1"/>
  <c r="AK57" i="1" s="1"/>
  <c r="C11" i="2"/>
  <c r="D9" i="1"/>
  <c r="CL120" i="1"/>
  <c r="CL119" i="1"/>
  <c r="CL118" i="1"/>
  <c r="CL117" i="1"/>
  <c r="CL116" i="1"/>
  <c r="CL115" i="1"/>
  <c r="CL114" i="1"/>
  <c r="CL113" i="1"/>
  <c r="CL112" i="1"/>
  <c r="CL111" i="1"/>
  <c r="CL110" i="1"/>
  <c r="CL109" i="1"/>
  <c r="CL108" i="1"/>
  <c r="CL107" i="1"/>
  <c r="CM76" i="1"/>
  <c r="CL76" i="1"/>
  <c r="CL69" i="1"/>
  <c r="CM69" i="1"/>
  <c r="CL55" i="1"/>
  <c r="B55" i="1"/>
  <c r="AK55" i="1" s="1"/>
  <c r="CL14" i="1"/>
  <c r="CM14" i="1"/>
  <c r="B14" i="1"/>
  <c r="AK14" i="1" s="1"/>
  <c r="CM98" i="1"/>
  <c r="CM90" i="1"/>
  <c r="CM77" i="1"/>
  <c r="CM72" i="1"/>
  <c r="B49" i="1"/>
  <c r="AK49" i="1" s="1"/>
  <c r="CL49" i="1"/>
  <c r="CM49" i="1"/>
  <c r="CM99" i="1"/>
  <c r="CM95" i="1"/>
  <c r="CM91" i="1"/>
  <c r="CM87" i="1"/>
  <c r="CM83" i="1"/>
  <c r="CL75" i="1"/>
  <c r="CM74" i="1"/>
  <c r="B53" i="1"/>
  <c r="AK53" i="1" s="1"/>
  <c r="CM53" i="1"/>
  <c r="B17" i="1"/>
  <c r="AK17" i="1" s="1"/>
  <c r="CL73" i="1"/>
  <c r="CM70" i="1"/>
  <c r="CM68" i="1"/>
  <c r="CL65" i="1"/>
  <c r="CL56" i="1"/>
  <c r="CL54" i="1"/>
  <c r="B50" i="1"/>
  <c r="AK50" i="1" s="1"/>
  <c r="CM97" i="1"/>
  <c r="CM93" i="1"/>
  <c r="CM89" i="1"/>
  <c r="CM85" i="1"/>
  <c r="CL61" i="1"/>
  <c r="CL47" i="1"/>
  <c r="CL46" i="1"/>
  <c r="B46" i="1"/>
  <c r="AK46" i="1" s="1"/>
  <c r="CM46" i="1"/>
  <c r="B44" i="1"/>
  <c r="AK44" i="1" s="1"/>
  <c r="CL44" i="1"/>
  <c r="CL17" i="1"/>
  <c r="B48" i="1"/>
  <c r="AK48" i="1" s="1"/>
  <c r="CM48" i="1"/>
  <c r="CL40" i="1"/>
  <c r="CL48" i="1"/>
  <c r="B42" i="1"/>
  <c r="AK42" i="1" s="1"/>
  <c r="CL42" i="1"/>
  <c r="CM40" i="1"/>
  <c r="B40" i="1"/>
  <c r="AK40" i="1" s="1"/>
  <c r="B39" i="1"/>
  <c r="AK39" i="1" s="1"/>
  <c r="CM18" i="1"/>
  <c r="B18" i="1"/>
  <c r="AK18" i="1" s="1"/>
  <c r="CL23" i="1"/>
  <c r="B16" i="1"/>
  <c r="AK16" i="1" s="1"/>
  <c r="CM16" i="1"/>
  <c r="CL15" i="1"/>
  <c r="B15" i="1"/>
  <c r="AK15" i="1" s="1"/>
  <c r="CL12" i="1"/>
  <c r="CM120" i="1"/>
  <c r="CM119" i="1"/>
  <c r="CM118" i="1"/>
  <c r="CM117" i="1"/>
  <c r="CM116" i="1"/>
  <c r="CM115" i="1"/>
  <c r="CM114" i="1"/>
  <c r="CM113" i="1"/>
  <c r="CM112" i="1"/>
  <c r="CM111" i="1"/>
  <c r="CM110" i="1"/>
  <c r="CM109" i="1"/>
  <c r="CM108" i="1"/>
  <c r="CM107" i="1"/>
  <c r="CL82" i="1"/>
  <c r="CM81" i="1"/>
  <c r="CM80" i="1"/>
  <c r="CM79" i="1"/>
  <c r="CM78" i="1"/>
  <c r="CL81" i="1"/>
  <c r="CL80" i="1"/>
  <c r="CL79" i="1"/>
  <c r="CL78" i="1"/>
  <c r="CL77" i="1"/>
  <c r="CM60" i="1"/>
  <c r="CM59" i="1"/>
  <c r="CM58" i="1"/>
  <c r="CM57" i="1"/>
  <c r="CM56" i="1"/>
  <c r="CM55" i="1"/>
  <c r="CM54" i="1"/>
  <c r="CM47" i="1"/>
  <c r="B47" i="1"/>
  <c r="AK47" i="1" s="1"/>
  <c r="B34" i="1"/>
  <c r="AK34" i="1" s="1"/>
  <c r="CL34" i="1"/>
  <c r="CM34" i="1"/>
  <c r="B31" i="1"/>
  <c r="AK31" i="1" s="1"/>
  <c r="CL31" i="1"/>
  <c r="CM31" i="1"/>
  <c r="B32" i="1"/>
  <c r="AK32" i="1" s="1"/>
  <c r="CL32" i="1"/>
  <c r="CM32" i="1"/>
  <c r="B33" i="1"/>
  <c r="AK33" i="1" s="1"/>
  <c r="CL33" i="1"/>
  <c r="CM33" i="1"/>
  <c r="B30" i="1"/>
  <c r="AK30" i="1" s="1"/>
  <c r="B29" i="1"/>
  <c r="AK29" i="1" s="1"/>
  <c r="B28" i="1"/>
  <c r="AK28" i="1" s="1"/>
  <c r="B27" i="1"/>
  <c r="AK27" i="1" s="1"/>
  <c r="B26" i="1"/>
  <c r="AK26" i="1" s="1"/>
  <c r="B25" i="1"/>
  <c r="AK25" i="1" s="1"/>
  <c r="B24" i="1"/>
  <c r="AK24" i="1" s="1"/>
  <c r="CL22" i="1"/>
  <c r="B22" i="1"/>
  <c r="AK22" i="1" s="1"/>
  <c r="CM22" i="1"/>
  <c r="CM21" i="1"/>
  <c r="B21" i="1"/>
  <c r="AK21" i="1" s="1"/>
  <c r="CM30" i="1"/>
  <c r="CM29" i="1"/>
  <c r="CM28" i="1"/>
  <c r="CM27" i="1"/>
  <c r="CM26" i="1"/>
  <c r="CM25" i="1"/>
  <c r="CM24" i="1"/>
  <c r="CL30" i="1"/>
  <c r="CL29" i="1"/>
  <c r="CL28" i="1"/>
  <c r="CL27" i="1"/>
  <c r="CL26" i="1"/>
  <c r="CL25" i="1"/>
  <c r="CL24" i="1"/>
  <c r="CL21" i="1"/>
  <c r="B23" i="1"/>
  <c r="AK23" i="1" s="1"/>
  <c r="CM23" i="1"/>
  <c r="AC9" i="1"/>
  <c r="CM9" i="1"/>
  <c r="Z9" i="1"/>
  <c r="CL9" i="1"/>
  <c r="CM10" i="1"/>
  <c r="E3" i="1" l="1"/>
  <c r="K9" i="1"/>
  <c r="AX9" i="1" s="1"/>
  <c r="AY9" i="1" s="1"/>
  <c r="BC9" i="1"/>
  <c r="C12" i="2"/>
  <c r="D10" i="1"/>
  <c r="AA9" i="1"/>
  <c r="AA10" i="1" s="1"/>
  <c r="AA11" i="1" s="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A45" i="1" s="1"/>
  <c r="AA46" i="1" s="1"/>
  <c r="AA47" i="1" s="1"/>
  <c r="AA48" i="1" s="1"/>
  <c r="AA49" i="1" s="1"/>
  <c r="AA50" i="1" s="1"/>
  <c r="AA51" i="1" s="1"/>
  <c r="AA52" i="1" s="1"/>
  <c r="AA53" i="1" s="1"/>
  <c r="AA54" i="1" s="1"/>
  <c r="AA55" i="1" s="1"/>
  <c r="AA56" i="1" s="1"/>
  <c r="AA57" i="1" s="1"/>
  <c r="AA58" i="1" s="1"/>
  <c r="AA59" i="1" s="1"/>
  <c r="AA60" i="1" s="1"/>
  <c r="AA61" i="1" s="1"/>
  <c r="AA62" i="1" s="1"/>
  <c r="AA63" i="1" s="1"/>
  <c r="AA64" i="1" s="1"/>
  <c r="AA65" i="1" s="1"/>
  <c r="AA66" i="1" s="1"/>
  <c r="AA67" i="1" s="1"/>
  <c r="AA68" i="1" s="1"/>
  <c r="AA69" i="1" s="1"/>
  <c r="AA70" i="1" s="1"/>
  <c r="AA71" i="1" s="1"/>
  <c r="AA72" i="1" s="1"/>
  <c r="AA73" i="1" s="1"/>
  <c r="AA74" i="1" s="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A102" i="1" s="1"/>
  <c r="AA103" i="1" s="1"/>
  <c r="AA104" i="1" s="1"/>
  <c r="AA105" i="1" s="1"/>
  <c r="AA106" i="1" s="1"/>
  <c r="AA107" i="1" s="1"/>
  <c r="AA108" i="1" s="1"/>
  <c r="AA109" i="1" s="1"/>
  <c r="AA110" i="1" s="1"/>
  <c r="AA111" i="1" s="1"/>
  <c r="AA112" i="1" s="1"/>
  <c r="AA113" i="1" s="1"/>
  <c r="AA114" i="1" s="1"/>
  <c r="AA115" i="1" s="1"/>
  <c r="AA116" i="1" s="1"/>
  <c r="AA117" i="1" s="1"/>
  <c r="AA118" i="1" s="1"/>
  <c r="AA119" i="1" s="1"/>
  <c r="AA120" i="1" s="1"/>
  <c r="AD9" i="1"/>
  <c r="AD10" i="1" s="1"/>
  <c r="AD11" i="1" s="1"/>
  <c r="AD12" i="1" s="1"/>
  <c r="AD13" i="1" s="1"/>
  <c r="AD14" i="1" s="1"/>
  <c r="AD15" i="1" s="1"/>
  <c r="AD16" i="1" s="1"/>
  <c r="AD17" i="1" s="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D45" i="1" s="1"/>
  <c r="AD46" i="1" s="1"/>
  <c r="AD47" i="1" s="1"/>
  <c r="AD48" i="1" s="1"/>
  <c r="AD49" i="1" s="1"/>
  <c r="AD50" i="1" s="1"/>
  <c r="AD51" i="1" s="1"/>
  <c r="AD52" i="1" s="1"/>
  <c r="AD53" i="1" s="1"/>
  <c r="AD54" i="1" s="1"/>
  <c r="AD55" i="1" s="1"/>
  <c r="AD56" i="1" s="1"/>
  <c r="AD57" i="1" s="1"/>
  <c r="AD58" i="1" s="1"/>
  <c r="AD59" i="1" s="1"/>
  <c r="AD60" i="1" s="1"/>
  <c r="AD61" i="1" s="1"/>
  <c r="AD62" i="1" s="1"/>
  <c r="AD63" i="1" s="1"/>
  <c r="AD64" i="1" s="1"/>
  <c r="AD65" i="1" s="1"/>
  <c r="AD66" i="1" s="1"/>
  <c r="AD67" i="1" s="1"/>
  <c r="AD68" i="1" s="1"/>
  <c r="AD69" i="1" s="1"/>
  <c r="AD70" i="1" s="1"/>
  <c r="AD71" i="1" s="1"/>
  <c r="AD72" i="1" s="1"/>
  <c r="AD73" i="1" s="1"/>
  <c r="AD74" i="1" s="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D102" i="1" s="1"/>
  <c r="AD103" i="1" s="1"/>
  <c r="AD104" i="1" s="1"/>
  <c r="AD105" i="1" s="1"/>
  <c r="AD106" i="1" s="1"/>
  <c r="AD107" i="1" s="1"/>
  <c r="AD108" i="1" s="1"/>
  <c r="AD109" i="1" s="1"/>
  <c r="AD110" i="1" s="1"/>
  <c r="AD111" i="1" s="1"/>
  <c r="AD112" i="1" s="1"/>
  <c r="AD113" i="1" s="1"/>
  <c r="AD114" i="1" s="1"/>
  <c r="AD115" i="1" s="1"/>
  <c r="AD116" i="1" s="1"/>
  <c r="AD117" i="1" s="1"/>
  <c r="AD118" i="1" s="1"/>
  <c r="AD119" i="1" s="1"/>
  <c r="AD120" i="1" s="1"/>
  <c r="AP12" i="1" l="1"/>
  <c r="AP16" i="1"/>
  <c r="AP20" i="1"/>
  <c r="AP24" i="1"/>
  <c r="AP28" i="1"/>
  <c r="AP32" i="1"/>
  <c r="AP36" i="1"/>
  <c r="AP40" i="1"/>
  <c r="AP44" i="1"/>
  <c r="AP48" i="1"/>
  <c r="AP52" i="1"/>
  <c r="AP56" i="1"/>
  <c r="AP60" i="1"/>
  <c r="AP64" i="1"/>
  <c r="AP68" i="1"/>
  <c r="AP72" i="1"/>
  <c r="AP76" i="1"/>
  <c r="AP80" i="1"/>
  <c r="AP84" i="1"/>
  <c r="AP88" i="1"/>
  <c r="AP92" i="1"/>
  <c r="AP96" i="1"/>
  <c r="AP100" i="1"/>
  <c r="AP104" i="1"/>
  <c r="AP108" i="1"/>
  <c r="AP112" i="1"/>
  <c r="AP116" i="1"/>
  <c r="AP120" i="1"/>
  <c r="AP13" i="1"/>
  <c r="AP17" i="1"/>
  <c r="AP21" i="1"/>
  <c r="AP25" i="1"/>
  <c r="AP29" i="1"/>
  <c r="AP33" i="1"/>
  <c r="AP37" i="1"/>
  <c r="AP41" i="1"/>
  <c r="AP45" i="1"/>
  <c r="AP49" i="1"/>
  <c r="AP53" i="1"/>
  <c r="AP57" i="1"/>
  <c r="AP61" i="1"/>
  <c r="AP65" i="1"/>
  <c r="AP69" i="1"/>
  <c r="AP73" i="1"/>
  <c r="AP77" i="1"/>
  <c r="AP81" i="1"/>
  <c r="AP85" i="1"/>
  <c r="AP89" i="1"/>
  <c r="AP93" i="1"/>
  <c r="AP97" i="1"/>
  <c r="AP101" i="1"/>
  <c r="AP105" i="1"/>
  <c r="AP109" i="1"/>
  <c r="AP113" i="1"/>
  <c r="AP117" i="1"/>
  <c r="AP9" i="1"/>
  <c r="CC13" i="1"/>
  <c r="CD13" i="1" s="1"/>
  <c r="CC17" i="1"/>
  <c r="CD17" i="1" s="1"/>
  <c r="CC21" i="1"/>
  <c r="CD21" i="1" s="1"/>
  <c r="CC25" i="1"/>
  <c r="CD25" i="1" s="1"/>
  <c r="CC38" i="1"/>
  <c r="CD38" i="1" s="1"/>
  <c r="CC42" i="1"/>
  <c r="CD42" i="1" s="1"/>
  <c r="CC46" i="1"/>
  <c r="CD46" i="1" s="1"/>
  <c r="CC50" i="1"/>
  <c r="CD50" i="1" s="1"/>
  <c r="CC54" i="1"/>
  <c r="CD54" i="1" s="1"/>
  <c r="CC58" i="1"/>
  <c r="CD58" i="1" s="1"/>
  <c r="CC62" i="1"/>
  <c r="CD62" i="1" s="1"/>
  <c r="CC66" i="1"/>
  <c r="CD66" i="1" s="1"/>
  <c r="CC70" i="1"/>
  <c r="CD70" i="1" s="1"/>
  <c r="CC74" i="1"/>
  <c r="CD74" i="1" s="1"/>
  <c r="CC78" i="1"/>
  <c r="CD78" i="1" s="1"/>
  <c r="CC82" i="1"/>
  <c r="CD82" i="1" s="1"/>
  <c r="CC86" i="1"/>
  <c r="CD86" i="1" s="1"/>
  <c r="CC90" i="1"/>
  <c r="CD90" i="1" s="1"/>
  <c r="CC94" i="1"/>
  <c r="CD94" i="1" s="1"/>
  <c r="CC98" i="1"/>
  <c r="CD98" i="1" s="1"/>
  <c r="CC102" i="1"/>
  <c r="CD102" i="1" s="1"/>
  <c r="CC106" i="1"/>
  <c r="CD106" i="1" s="1"/>
  <c r="CC110" i="1"/>
  <c r="CD110" i="1" s="1"/>
  <c r="CC114" i="1"/>
  <c r="CD114" i="1" s="1"/>
  <c r="CC118" i="1"/>
  <c r="CD118" i="1" s="1"/>
  <c r="CA10" i="1"/>
  <c r="CB10" i="1" s="1"/>
  <c r="CA14" i="1"/>
  <c r="CB14" i="1" s="1"/>
  <c r="CA18" i="1"/>
  <c r="CB18" i="1" s="1"/>
  <c r="CA22" i="1"/>
  <c r="CB22" i="1" s="1"/>
  <c r="CA26" i="1"/>
  <c r="CB26" i="1" s="1"/>
  <c r="CA30" i="1"/>
  <c r="CB30" i="1" s="1"/>
  <c r="CA39" i="1"/>
  <c r="CB39" i="1" s="1"/>
  <c r="CA43" i="1"/>
  <c r="CB43" i="1" s="1"/>
  <c r="CA47" i="1"/>
  <c r="CB47" i="1" s="1"/>
  <c r="CA51" i="1"/>
  <c r="CB51" i="1" s="1"/>
  <c r="CA55" i="1"/>
  <c r="CB55" i="1" s="1"/>
  <c r="CA59" i="1"/>
  <c r="CB59" i="1" s="1"/>
  <c r="CA63" i="1"/>
  <c r="CB63" i="1" s="1"/>
  <c r="AP10" i="1"/>
  <c r="AP14" i="1"/>
  <c r="AP18" i="1"/>
  <c r="AP22" i="1"/>
  <c r="AP26" i="1"/>
  <c r="AP30" i="1"/>
  <c r="AP34" i="1"/>
  <c r="AP38" i="1"/>
  <c r="AP42" i="1"/>
  <c r="AP46" i="1"/>
  <c r="AP50" i="1"/>
  <c r="AP54" i="1"/>
  <c r="AP58" i="1"/>
  <c r="AP62" i="1"/>
  <c r="AP66" i="1"/>
  <c r="AP70" i="1"/>
  <c r="AP74" i="1"/>
  <c r="AP78" i="1"/>
  <c r="AP82" i="1"/>
  <c r="AP86" i="1"/>
  <c r="AP90" i="1"/>
  <c r="AP94" i="1"/>
  <c r="AP98" i="1"/>
  <c r="AP102" i="1"/>
  <c r="AP106" i="1"/>
  <c r="AP110" i="1"/>
  <c r="AP114" i="1"/>
  <c r="AP118" i="1"/>
  <c r="CC10" i="1"/>
  <c r="CD10" i="1" s="1"/>
  <c r="AP11" i="1"/>
  <c r="AP15" i="1"/>
  <c r="AP19" i="1"/>
  <c r="AP23" i="1"/>
  <c r="AP27" i="1"/>
  <c r="AP31" i="1"/>
  <c r="AP35" i="1"/>
  <c r="AP39" i="1"/>
  <c r="AP43" i="1"/>
  <c r="AP47" i="1"/>
  <c r="AP51" i="1"/>
  <c r="AP55" i="1"/>
  <c r="AP59" i="1"/>
  <c r="AP63" i="1"/>
  <c r="AP67" i="1"/>
  <c r="AP71" i="1"/>
  <c r="AP75" i="1"/>
  <c r="AP79" i="1"/>
  <c r="AP83" i="1"/>
  <c r="AP87" i="1"/>
  <c r="AP91" i="1"/>
  <c r="AP95" i="1"/>
  <c r="AP99" i="1"/>
  <c r="AP103" i="1"/>
  <c r="AP107" i="1"/>
  <c r="AP111" i="1"/>
  <c r="AP115" i="1"/>
  <c r="AP119" i="1"/>
  <c r="CC11" i="1"/>
  <c r="CD11" i="1" s="1"/>
  <c r="CC15" i="1"/>
  <c r="CD15" i="1" s="1"/>
  <c r="CC19" i="1"/>
  <c r="CD19" i="1" s="1"/>
  <c r="CC23" i="1"/>
  <c r="CD23" i="1" s="1"/>
  <c r="CC27" i="1"/>
  <c r="CD27" i="1" s="1"/>
  <c r="CC31" i="1"/>
  <c r="CD31" i="1" s="1"/>
  <c r="CC44" i="1"/>
  <c r="CD44" i="1" s="1"/>
  <c r="CC48" i="1"/>
  <c r="CD48" i="1" s="1"/>
  <c r="CC52" i="1"/>
  <c r="CD52" i="1" s="1"/>
  <c r="CC56" i="1"/>
  <c r="CD56" i="1" s="1"/>
  <c r="CC60" i="1"/>
  <c r="CD60" i="1" s="1"/>
  <c r="CC68" i="1"/>
  <c r="CD68" i="1" s="1"/>
  <c r="CC72" i="1"/>
  <c r="CD72" i="1" s="1"/>
  <c r="CC76" i="1"/>
  <c r="CD76" i="1" s="1"/>
  <c r="CC80" i="1"/>
  <c r="CD80" i="1" s="1"/>
  <c r="CC84" i="1"/>
  <c r="CD84" i="1" s="1"/>
  <c r="CC88" i="1"/>
  <c r="CD88" i="1" s="1"/>
  <c r="CC96" i="1"/>
  <c r="CD96" i="1" s="1"/>
  <c r="CC100" i="1"/>
  <c r="CD100" i="1" s="1"/>
  <c r="CC104" i="1"/>
  <c r="CD104" i="1" s="1"/>
  <c r="CC108" i="1"/>
  <c r="CD108" i="1" s="1"/>
  <c r="CC112" i="1"/>
  <c r="CD112" i="1" s="1"/>
  <c r="CC116" i="1"/>
  <c r="CD116" i="1" s="1"/>
  <c r="CA12" i="1"/>
  <c r="CB12" i="1" s="1"/>
  <c r="CA16" i="1"/>
  <c r="CB16" i="1" s="1"/>
  <c r="CA20" i="1"/>
  <c r="CB20" i="1" s="1"/>
  <c r="CA24" i="1"/>
  <c r="CB24" i="1" s="1"/>
  <c r="CA37" i="1"/>
  <c r="CB37" i="1" s="1"/>
  <c r="CA41" i="1"/>
  <c r="CB41" i="1" s="1"/>
  <c r="CA45" i="1"/>
  <c r="CB45" i="1" s="1"/>
  <c r="CA49" i="1"/>
  <c r="CB49" i="1" s="1"/>
  <c r="CA53" i="1"/>
  <c r="CB53" i="1" s="1"/>
  <c r="CA57" i="1"/>
  <c r="CB57" i="1" s="1"/>
  <c r="CA61" i="1"/>
  <c r="CB61" i="1" s="1"/>
  <c r="CA65" i="1"/>
  <c r="CB65" i="1" s="1"/>
  <c r="CA69" i="1"/>
  <c r="CB69" i="1" s="1"/>
  <c r="CC14" i="1"/>
  <c r="CD14" i="1" s="1"/>
  <c r="CC22" i="1"/>
  <c r="CD22" i="1" s="1"/>
  <c r="CC30" i="1"/>
  <c r="CD30" i="1" s="1"/>
  <c r="CC39" i="1"/>
  <c r="CD39" i="1" s="1"/>
  <c r="CC47" i="1"/>
  <c r="CD47" i="1" s="1"/>
  <c r="CC55" i="1"/>
  <c r="CD55" i="1" s="1"/>
  <c r="CC63" i="1"/>
  <c r="CD63" i="1" s="1"/>
  <c r="CC71" i="1"/>
  <c r="CD71" i="1" s="1"/>
  <c r="CC79" i="1"/>
  <c r="CD79" i="1" s="1"/>
  <c r="CC87" i="1"/>
  <c r="CD87" i="1" s="1"/>
  <c r="CC95" i="1"/>
  <c r="CD95" i="1" s="1"/>
  <c r="CC103" i="1"/>
  <c r="CD103" i="1" s="1"/>
  <c r="CC111" i="1"/>
  <c r="CD111" i="1" s="1"/>
  <c r="CC119" i="1"/>
  <c r="CD119" i="1" s="1"/>
  <c r="CA11" i="1"/>
  <c r="CB11" i="1" s="1"/>
  <c r="CA19" i="1"/>
  <c r="CB19" i="1" s="1"/>
  <c r="CA27" i="1"/>
  <c r="CB27" i="1" s="1"/>
  <c r="CA44" i="1"/>
  <c r="CB44" i="1" s="1"/>
  <c r="CA52" i="1"/>
  <c r="CB52" i="1" s="1"/>
  <c r="CA60" i="1"/>
  <c r="CB60" i="1" s="1"/>
  <c r="CA67" i="1"/>
  <c r="CB67" i="1" s="1"/>
  <c r="CA72" i="1"/>
  <c r="CB72" i="1" s="1"/>
  <c r="CA76" i="1"/>
  <c r="CB76" i="1" s="1"/>
  <c r="CA80" i="1"/>
  <c r="CB80" i="1" s="1"/>
  <c r="CA84" i="1"/>
  <c r="CB84" i="1" s="1"/>
  <c r="CA88" i="1"/>
  <c r="CB88" i="1" s="1"/>
  <c r="CA96" i="1"/>
  <c r="CB96" i="1" s="1"/>
  <c r="CA100" i="1"/>
  <c r="CB100" i="1" s="1"/>
  <c r="CA104" i="1"/>
  <c r="CB104" i="1" s="1"/>
  <c r="CA108" i="1"/>
  <c r="CB108" i="1" s="1"/>
  <c r="CA112" i="1"/>
  <c r="CB112" i="1" s="1"/>
  <c r="CA116" i="1"/>
  <c r="CB116" i="1" s="1"/>
  <c r="CA25" i="1"/>
  <c r="CB25" i="1" s="1"/>
  <c r="CA66" i="1"/>
  <c r="CB66" i="1" s="1"/>
  <c r="CA79" i="1"/>
  <c r="CB79" i="1" s="1"/>
  <c r="CA91" i="1"/>
  <c r="CB91" i="1" s="1"/>
  <c r="CA111" i="1"/>
  <c r="CB111" i="1" s="1"/>
  <c r="CC16" i="1"/>
  <c r="CD16" i="1" s="1"/>
  <c r="CC24" i="1"/>
  <c r="CD24" i="1" s="1"/>
  <c r="CC41" i="1"/>
  <c r="CD41" i="1" s="1"/>
  <c r="CC49" i="1"/>
  <c r="CD49" i="1" s="1"/>
  <c r="CC57" i="1"/>
  <c r="CD57" i="1" s="1"/>
  <c r="CC65" i="1"/>
  <c r="CD65" i="1" s="1"/>
  <c r="CC73" i="1"/>
  <c r="CD73" i="1" s="1"/>
  <c r="CC81" i="1"/>
  <c r="CD81" i="1" s="1"/>
  <c r="CC89" i="1"/>
  <c r="CD89" i="1" s="1"/>
  <c r="CC97" i="1"/>
  <c r="CD97" i="1" s="1"/>
  <c r="CC105" i="1"/>
  <c r="CD105" i="1" s="1"/>
  <c r="CC113" i="1"/>
  <c r="CD113" i="1" s="1"/>
  <c r="CA13" i="1"/>
  <c r="CB13" i="1" s="1"/>
  <c r="CA21" i="1"/>
  <c r="CB21" i="1" s="1"/>
  <c r="CA38" i="1"/>
  <c r="CB38" i="1" s="1"/>
  <c r="CA46" i="1"/>
  <c r="CB46" i="1" s="1"/>
  <c r="CA54" i="1"/>
  <c r="CB54" i="1" s="1"/>
  <c r="CA62" i="1"/>
  <c r="CB62" i="1" s="1"/>
  <c r="CA68" i="1"/>
  <c r="CB68" i="1" s="1"/>
  <c r="CA73" i="1"/>
  <c r="CB73" i="1" s="1"/>
  <c r="CA77" i="1"/>
  <c r="CB77" i="1" s="1"/>
  <c r="CA81" i="1"/>
  <c r="CB81" i="1" s="1"/>
  <c r="CA85" i="1"/>
  <c r="CB85" i="1" s="1"/>
  <c r="CA89" i="1"/>
  <c r="CB89" i="1" s="1"/>
  <c r="CA93" i="1"/>
  <c r="CB93" i="1" s="1"/>
  <c r="CA97" i="1"/>
  <c r="CB97" i="1" s="1"/>
  <c r="CA101" i="1"/>
  <c r="CB101" i="1" s="1"/>
  <c r="CA105" i="1"/>
  <c r="CB105" i="1" s="1"/>
  <c r="CA109" i="1"/>
  <c r="CB109" i="1" s="1"/>
  <c r="CA113" i="1"/>
  <c r="CB113" i="1" s="1"/>
  <c r="CA117" i="1"/>
  <c r="CB117" i="1" s="1"/>
  <c r="CC20" i="1"/>
  <c r="CD20" i="1" s="1"/>
  <c r="CC37" i="1"/>
  <c r="CD37" i="1" s="1"/>
  <c r="CC53" i="1"/>
  <c r="CD53" i="1" s="1"/>
  <c r="CC69" i="1"/>
  <c r="CD69" i="1" s="1"/>
  <c r="CC85" i="1"/>
  <c r="CD85" i="1" s="1"/>
  <c r="CC101" i="1"/>
  <c r="CD101" i="1" s="1"/>
  <c r="CA50" i="1"/>
  <c r="CB50" i="1" s="1"/>
  <c r="CA71" i="1"/>
  <c r="CB71" i="1" s="1"/>
  <c r="CA87" i="1"/>
  <c r="CB87" i="1" s="1"/>
  <c r="CA99" i="1"/>
  <c r="CB99" i="1" s="1"/>
  <c r="CA107" i="1"/>
  <c r="CB107" i="1" s="1"/>
  <c r="CA119" i="1"/>
  <c r="CB119" i="1" s="1"/>
  <c r="CC18" i="1"/>
  <c r="CD18" i="1" s="1"/>
  <c r="CC26" i="1"/>
  <c r="CD26" i="1" s="1"/>
  <c r="CC43" i="1"/>
  <c r="CD43" i="1" s="1"/>
  <c r="CC51" i="1"/>
  <c r="CD51" i="1" s="1"/>
  <c r="CC59" i="1"/>
  <c r="CD59" i="1" s="1"/>
  <c r="CC67" i="1"/>
  <c r="CD67" i="1" s="1"/>
  <c r="CC75" i="1"/>
  <c r="CD75" i="1" s="1"/>
  <c r="CC83" i="1"/>
  <c r="CD83" i="1" s="1"/>
  <c r="CC91" i="1"/>
  <c r="CD91" i="1" s="1"/>
  <c r="CC99" i="1"/>
  <c r="CD99" i="1" s="1"/>
  <c r="CC107" i="1"/>
  <c r="CD107" i="1" s="1"/>
  <c r="CC115" i="1"/>
  <c r="CD115" i="1" s="1"/>
  <c r="CA15" i="1"/>
  <c r="CB15" i="1" s="1"/>
  <c r="CA23" i="1"/>
  <c r="CB23" i="1" s="1"/>
  <c r="CA31" i="1"/>
  <c r="CB31" i="1" s="1"/>
  <c r="CA48" i="1"/>
  <c r="CB48" i="1" s="1"/>
  <c r="CA56" i="1"/>
  <c r="CB56" i="1" s="1"/>
  <c r="CA70" i="1"/>
  <c r="CB70" i="1" s="1"/>
  <c r="CA74" i="1"/>
  <c r="CB74" i="1" s="1"/>
  <c r="CA78" i="1"/>
  <c r="CB78" i="1" s="1"/>
  <c r="CA82" i="1"/>
  <c r="CB82" i="1" s="1"/>
  <c r="CA86" i="1"/>
  <c r="CB86" i="1" s="1"/>
  <c r="CA90" i="1"/>
  <c r="CB90" i="1" s="1"/>
  <c r="CA94" i="1"/>
  <c r="CB94" i="1" s="1"/>
  <c r="CA98" i="1"/>
  <c r="CB98" i="1" s="1"/>
  <c r="CA102" i="1"/>
  <c r="CB102" i="1" s="1"/>
  <c r="CA106" i="1"/>
  <c r="CB106" i="1" s="1"/>
  <c r="CA110" i="1"/>
  <c r="CB110" i="1" s="1"/>
  <c r="CA114" i="1"/>
  <c r="CB114" i="1" s="1"/>
  <c r="CA118" i="1"/>
  <c r="CB118" i="1" s="1"/>
  <c r="CC12" i="1"/>
  <c r="CD12" i="1" s="1"/>
  <c r="CC45" i="1"/>
  <c r="CD45" i="1" s="1"/>
  <c r="CC61" i="1"/>
  <c r="CD61" i="1" s="1"/>
  <c r="CC77" i="1"/>
  <c r="CD77" i="1" s="1"/>
  <c r="CC93" i="1"/>
  <c r="CD93" i="1" s="1"/>
  <c r="CC109" i="1"/>
  <c r="CD109" i="1" s="1"/>
  <c r="CC117" i="1"/>
  <c r="CD117" i="1" s="1"/>
  <c r="CA17" i="1"/>
  <c r="CB17" i="1" s="1"/>
  <c r="CA42" i="1"/>
  <c r="CB42" i="1" s="1"/>
  <c r="CA58" i="1"/>
  <c r="CB58" i="1" s="1"/>
  <c r="CA75" i="1"/>
  <c r="CB75" i="1" s="1"/>
  <c r="CA83" i="1"/>
  <c r="CB83" i="1" s="1"/>
  <c r="CA95" i="1"/>
  <c r="CB95" i="1" s="1"/>
  <c r="CA103" i="1"/>
  <c r="CB103" i="1" s="1"/>
  <c r="CA115" i="1"/>
  <c r="CB115" i="1" s="1"/>
  <c r="BW10" i="1"/>
  <c r="BW12" i="1"/>
  <c r="BW14" i="1"/>
  <c r="BW16" i="1"/>
  <c r="BW18" i="1"/>
  <c r="BW20" i="1"/>
  <c r="BW22" i="1"/>
  <c r="BW24" i="1"/>
  <c r="BW26" i="1"/>
  <c r="BW30" i="1"/>
  <c r="BW33" i="1"/>
  <c r="BW35" i="1"/>
  <c r="BW37" i="1"/>
  <c r="BW39" i="1"/>
  <c r="BW41" i="1"/>
  <c r="BW43" i="1"/>
  <c r="BW45" i="1"/>
  <c r="BW47" i="1"/>
  <c r="BW49" i="1"/>
  <c r="BW51" i="1"/>
  <c r="BW53" i="1"/>
  <c r="BW55" i="1"/>
  <c r="BW57" i="1"/>
  <c r="BW59" i="1"/>
  <c r="BW61" i="1"/>
  <c r="BW63" i="1"/>
  <c r="BW65" i="1"/>
  <c r="BW67" i="1"/>
  <c r="BW69" i="1"/>
  <c r="BW71" i="1"/>
  <c r="BW73" i="1"/>
  <c r="BW75" i="1"/>
  <c r="BW77" i="1"/>
  <c r="BW79" i="1"/>
  <c r="BW81" i="1"/>
  <c r="BW83" i="1"/>
  <c r="BW85" i="1"/>
  <c r="BW87" i="1"/>
  <c r="BW89" i="1"/>
  <c r="BW91" i="1"/>
  <c r="BW93" i="1"/>
  <c r="BW95" i="1"/>
  <c r="BX10" i="1"/>
  <c r="BX12" i="1"/>
  <c r="BX14" i="1"/>
  <c r="BX16" i="1"/>
  <c r="BX18" i="1"/>
  <c r="BX20" i="1"/>
  <c r="BX22" i="1"/>
  <c r="BX24" i="1"/>
  <c r="BX26" i="1"/>
  <c r="BX30" i="1"/>
  <c r="BX37" i="1"/>
  <c r="BX39" i="1"/>
  <c r="BX41" i="1"/>
  <c r="BX43" i="1"/>
  <c r="BX45" i="1"/>
  <c r="BX47" i="1"/>
  <c r="BX49" i="1"/>
  <c r="BX51" i="1"/>
  <c r="BX53" i="1"/>
  <c r="BX55" i="1"/>
  <c r="BX57" i="1"/>
  <c r="BX59" i="1"/>
  <c r="BX61" i="1"/>
  <c r="BX63" i="1"/>
  <c r="BX65" i="1"/>
  <c r="BX67" i="1"/>
  <c r="BX69" i="1"/>
  <c r="BX71" i="1"/>
  <c r="BX73" i="1"/>
  <c r="BX75" i="1"/>
  <c r="BX77" i="1"/>
  <c r="BW13" i="1"/>
  <c r="BW17" i="1"/>
  <c r="BW21" i="1"/>
  <c r="BW25" i="1"/>
  <c r="BW34" i="1"/>
  <c r="BW38" i="1"/>
  <c r="BW42" i="1"/>
  <c r="BW46" i="1"/>
  <c r="BW50" i="1"/>
  <c r="BW54" i="1"/>
  <c r="BW58" i="1"/>
  <c r="BW62" i="1"/>
  <c r="BW66" i="1"/>
  <c r="BW70" i="1"/>
  <c r="BW74" i="1"/>
  <c r="BW78" i="1"/>
  <c r="BX80" i="1"/>
  <c r="BX83" i="1"/>
  <c r="BW86" i="1"/>
  <c r="BX88" i="1"/>
  <c r="BX91" i="1"/>
  <c r="BW94" i="1"/>
  <c r="BX96" i="1"/>
  <c r="BX98" i="1"/>
  <c r="BX100" i="1"/>
  <c r="BX102" i="1"/>
  <c r="BX104" i="1"/>
  <c r="BX106" i="1"/>
  <c r="BX108" i="1"/>
  <c r="BX110" i="1"/>
  <c r="BX112" i="1"/>
  <c r="BX114" i="1"/>
  <c r="BX116" i="1"/>
  <c r="BX118" i="1"/>
  <c r="BT11" i="1"/>
  <c r="BT15" i="1"/>
  <c r="BT19" i="1"/>
  <c r="BT23" i="1"/>
  <c r="BT27" i="1"/>
  <c r="BT31" i="1"/>
  <c r="BT36" i="1"/>
  <c r="BT40" i="1"/>
  <c r="BT44" i="1"/>
  <c r="BT48" i="1"/>
  <c r="BT52" i="1"/>
  <c r="BT56" i="1"/>
  <c r="BT60" i="1"/>
  <c r="BT64" i="1"/>
  <c r="BT68" i="1"/>
  <c r="BT72" i="1"/>
  <c r="BT76" i="1"/>
  <c r="BT80" i="1"/>
  <c r="BT84" i="1"/>
  <c r="BT88" i="1"/>
  <c r="BT92" i="1"/>
  <c r="BT96" i="1"/>
  <c r="BT100" i="1"/>
  <c r="BT104" i="1"/>
  <c r="BT108" i="1"/>
  <c r="BT112" i="1"/>
  <c r="BT116" i="1"/>
  <c r="BT120" i="1"/>
  <c r="BS12" i="1"/>
  <c r="BS16" i="1"/>
  <c r="BS20" i="1"/>
  <c r="BS24" i="1"/>
  <c r="BS33" i="1"/>
  <c r="BS37" i="1"/>
  <c r="BS41" i="1"/>
  <c r="BS45" i="1"/>
  <c r="BS49" i="1"/>
  <c r="BS53" i="1"/>
  <c r="BS57" i="1"/>
  <c r="BS61" i="1"/>
  <c r="BS65" i="1"/>
  <c r="BS69" i="1"/>
  <c r="BS73" i="1"/>
  <c r="BS77" i="1"/>
  <c r="BS81" i="1"/>
  <c r="BS85" i="1"/>
  <c r="BS89" i="1"/>
  <c r="BS93" i="1"/>
  <c r="BS97" i="1"/>
  <c r="BS101" i="1"/>
  <c r="BS105" i="1"/>
  <c r="BS109" i="1"/>
  <c r="BS113" i="1"/>
  <c r="BS117" i="1"/>
  <c r="BS9" i="1"/>
  <c r="BR13" i="1"/>
  <c r="BR17" i="1"/>
  <c r="BR21" i="1"/>
  <c r="BR25" i="1"/>
  <c r="BR38" i="1"/>
  <c r="BR42" i="1"/>
  <c r="BR46" i="1"/>
  <c r="BR50" i="1"/>
  <c r="BR54" i="1"/>
  <c r="BR58" i="1"/>
  <c r="BX13" i="1"/>
  <c r="BX17" i="1"/>
  <c r="BX21" i="1"/>
  <c r="BX25" i="1"/>
  <c r="BX38" i="1"/>
  <c r="BX42" i="1"/>
  <c r="BX46" i="1"/>
  <c r="BX50" i="1"/>
  <c r="BX54" i="1"/>
  <c r="BX58" i="1"/>
  <c r="BX62" i="1"/>
  <c r="BX66" i="1"/>
  <c r="BX70" i="1"/>
  <c r="BX74" i="1"/>
  <c r="BX78" i="1"/>
  <c r="BX81" i="1"/>
  <c r="BW84" i="1"/>
  <c r="BX86" i="1"/>
  <c r="BX89" i="1"/>
  <c r="BW92" i="1"/>
  <c r="BX94" i="1"/>
  <c r="BW97" i="1"/>
  <c r="BW99" i="1"/>
  <c r="BW101" i="1"/>
  <c r="BW103" i="1"/>
  <c r="BW105" i="1"/>
  <c r="BW107" i="1"/>
  <c r="BW109" i="1"/>
  <c r="BW111" i="1"/>
  <c r="BW113" i="1"/>
  <c r="BW115" i="1"/>
  <c r="BW117" i="1"/>
  <c r="BW119" i="1"/>
  <c r="BX9" i="1"/>
  <c r="BT12" i="1"/>
  <c r="BT16" i="1"/>
  <c r="BT20" i="1"/>
  <c r="BT24" i="1"/>
  <c r="BT33" i="1"/>
  <c r="BT37" i="1"/>
  <c r="BT41" i="1"/>
  <c r="BT45" i="1"/>
  <c r="BT49" i="1"/>
  <c r="BT53" i="1"/>
  <c r="BT57" i="1"/>
  <c r="BT61" i="1"/>
  <c r="BT65" i="1"/>
  <c r="BT69" i="1"/>
  <c r="BT73" i="1"/>
  <c r="BT77" i="1"/>
  <c r="BT81" i="1"/>
  <c r="BT85" i="1"/>
  <c r="BT89" i="1"/>
  <c r="BT93" i="1"/>
  <c r="BT97" i="1"/>
  <c r="BT101" i="1"/>
  <c r="BT105" i="1"/>
  <c r="BT109" i="1"/>
  <c r="BT113" i="1"/>
  <c r="BT117" i="1"/>
  <c r="BT9" i="1"/>
  <c r="BS13" i="1"/>
  <c r="BS17" i="1"/>
  <c r="BS21" i="1"/>
  <c r="BS25" i="1"/>
  <c r="BS29" i="1"/>
  <c r="BS34" i="1"/>
  <c r="BS38" i="1"/>
  <c r="BS42" i="1"/>
  <c r="BS46" i="1"/>
  <c r="BS50" i="1"/>
  <c r="BS54" i="1"/>
  <c r="BS58" i="1"/>
  <c r="BS62" i="1"/>
  <c r="BS66" i="1"/>
  <c r="BS70" i="1"/>
  <c r="BS74" i="1"/>
  <c r="BS78" i="1"/>
  <c r="BS82" i="1"/>
  <c r="BS86" i="1"/>
  <c r="BS90" i="1"/>
  <c r="BS94" i="1"/>
  <c r="BS98" i="1"/>
  <c r="BS102" i="1"/>
  <c r="BS106" i="1"/>
  <c r="BS110" i="1"/>
  <c r="BS114" i="1"/>
  <c r="BS118" i="1"/>
  <c r="BR10" i="1"/>
  <c r="BR14" i="1"/>
  <c r="BR18" i="1"/>
  <c r="BR22" i="1"/>
  <c r="BR26" i="1"/>
  <c r="BR30" i="1"/>
  <c r="BR39" i="1"/>
  <c r="BR43" i="1"/>
  <c r="BR47" i="1"/>
  <c r="BR51" i="1"/>
  <c r="BR55" i="1"/>
  <c r="BR59" i="1"/>
  <c r="BR63" i="1"/>
  <c r="BR67" i="1"/>
  <c r="BR71" i="1"/>
  <c r="BR75" i="1"/>
  <c r="BR79" i="1"/>
  <c r="BR83" i="1"/>
  <c r="BR87" i="1"/>
  <c r="BR91" i="1"/>
  <c r="BR95" i="1"/>
  <c r="BR99" i="1"/>
  <c r="BR103" i="1"/>
  <c r="BR107" i="1"/>
  <c r="BR111" i="1"/>
  <c r="BR115" i="1"/>
  <c r="BR119" i="1"/>
  <c r="BW11" i="1"/>
  <c r="BW19" i="1"/>
  <c r="BW27" i="1"/>
  <c r="BW36" i="1"/>
  <c r="BW44" i="1"/>
  <c r="BW52" i="1"/>
  <c r="BW60" i="1"/>
  <c r="BW68" i="1"/>
  <c r="BW76" i="1"/>
  <c r="BW82" i="1"/>
  <c r="BX87" i="1"/>
  <c r="BX97" i="1"/>
  <c r="BX101" i="1"/>
  <c r="BX105" i="1"/>
  <c r="BX109" i="1"/>
  <c r="BX113" i="1"/>
  <c r="BX117" i="1"/>
  <c r="BW9" i="1"/>
  <c r="BT17" i="1"/>
  <c r="BT25" i="1"/>
  <c r="BT34" i="1"/>
  <c r="BT42" i="1"/>
  <c r="BT50" i="1"/>
  <c r="BT58" i="1"/>
  <c r="BT66" i="1"/>
  <c r="BT74" i="1"/>
  <c r="BT82" i="1"/>
  <c r="BT90" i="1"/>
  <c r="BT98" i="1"/>
  <c r="BT106" i="1"/>
  <c r="BT114" i="1"/>
  <c r="BS10" i="1"/>
  <c r="BS18" i="1"/>
  <c r="BS26" i="1"/>
  <c r="BS35" i="1"/>
  <c r="BS43" i="1"/>
  <c r="BS51" i="1"/>
  <c r="BS59" i="1"/>
  <c r="BS67" i="1"/>
  <c r="BS75" i="1"/>
  <c r="BS83" i="1"/>
  <c r="BS91" i="1"/>
  <c r="BS99" i="1"/>
  <c r="BS107" i="1"/>
  <c r="BS115" i="1"/>
  <c r="BR11" i="1"/>
  <c r="BR19" i="1"/>
  <c r="BR27" i="1"/>
  <c r="BR44" i="1"/>
  <c r="BR52" i="1"/>
  <c r="BR60" i="1"/>
  <c r="BR65" i="1"/>
  <c r="BR70" i="1"/>
  <c r="BR76" i="1"/>
  <c r="BR81" i="1"/>
  <c r="BR86" i="1"/>
  <c r="BR97" i="1"/>
  <c r="BR102" i="1"/>
  <c r="BR108" i="1"/>
  <c r="BR113" i="1"/>
  <c r="BR118" i="1"/>
  <c r="BW15" i="1"/>
  <c r="BW31" i="1"/>
  <c r="BW48" i="1"/>
  <c r="BW64" i="1"/>
  <c r="BX79" i="1"/>
  <c r="BW90" i="1"/>
  <c r="BX99" i="1"/>
  <c r="BX107" i="1"/>
  <c r="BX115" i="1"/>
  <c r="BT13" i="1"/>
  <c r="BT29" i="1"/>
  <c r="BT46" i="1"/>
  <c r="BT62" i="1"/>
  <c r="BT78" i="1"/>
  <c r="BT94" i="1"/>
  <c r="BT110" i="1"/>
  <c r="BS14" i="1"/>
  <c r="BS30" i="1"/>
  <c r="BS47" i="1"/>
  <c r="BS63" i="1"/>
  <c r="BS79" i="1"/>
  <c r="BS95" i="1"/>
  <c r="BS111" i="1"/>
  <c r="BR15" i="1"/>
  <c r="BR31" i="1"/>
  <c r="BR48" i="1"/>
  <c r="BR62" i="1"/>
  <c r="BR73" i="1"/>
  <c r="BR84" i="1"/>
  <c r="BR94" i="1"/>
  <c r="BR105" i="1"/>
  <c r="BR116" i="1"/>
  <c r="BX11" i="1"/>
  <c r="BX19" i="1"/>
  <c r="BX27" i="1"/>
  <c r="BX44" i="1"/>
  <c r="BX52" i="1"/>
  <c r="BX60" i="1"/>
  <c r="BX68" i="1"/>
  <c r="BX76" i="1"/>
  <c r="BX82" i="1"/>
  <c r="BW88" i="1"/>
  <c r="BX93" i="1"/>
  <c r="BW98" i="1"/>
  <c r="BW102" i="1"/>
  <c r="BW106" i="1"/>
  <c r="BW110" i="1"/>
  <c r="BW114" i="1"/>
  <c r="BW118" i="1"/>
  <c r="BT10" i="1"/>
  <c r="BT18" i="1"/>
  <c r="BT26" i="1"/>
  <c r="BT35" i="1"/>
  <c r="BT43" i="1"/>
  <c r="BT51" i="1"/>
  <c r="BT59" i="1"/>
  <c r="BT67" i="1"/>
  <c r="BT75" i="1"/>
  <c r="BT83" i="1"/>
  <c r="BT91" i="1"/>
  <c r="BT99" i="1"/>
  <c r="BT107" i="1"/>
  <c r="BT115" i="1"/>
  <c r="BS11" i="1"/>
  <c r="BS19" i="1"/>
  <c r="BS27" i="1"/>
  <c r="BS36" i="1"/>
  <c r="BS44" i="1"/>
  <c r="BS52" i="1"/>
  <c r="BS60" i="1"/>
  <c r="BS68" i="1"/>
  <c r="BS76" i="1"/>
  <c r="BS84" i="1"/>
  <c r="BS92" i="1"/>
  <c r="BS100" i="1"/>
  <c r="BS108" i="1"/>
  <c r="BS116" i="1"/>
  <c r="BR12" i="1"/>
  <c r="BR20" i="1"/>
  <c r="BR37" i="1"/>
  <c r="BR45" i="1"/>
  <c r="BR53" i="1"/>
  <c r="BR61" i="1"/>
  <c r="BR66" i="1"/>
  <c r="BR72" i="1"/>
  <c r="BR77" i="1"/>
  <c r="BR82" i="1"/>
  <c r="BR88" i="1"/>
  <c r="BR93" i="1"/>
  <c r="BR98" i="1"/>
  <c r="BR104" i="1"/>
  <c r="BR109" i="1"/>
  <c r="BR114" i="1"/>
  <c r="BW23" i="1"/>
  <c r="BW56" i="1"/>
  <c r="BW72" i="1"/>
  <c r="BX84" i="1"/>
  <c r="BX95" i="1"/>
  <c r="BX103" i="1"/>
  <c r="BX111" i="1"/>
  <c r="BX119" i="1"/>
  <c r="BT21" i="1"/>
  <c r="BT38" i="1"/>
  <c r="BT54" i="1"/>
  <c r="BT70" i="1"/>
  <c r="BT86" i="1"/>
  <c r="BT102" i="1"/>
  <c r="BT118" i="1"/>
  <c r="BS22" i="1"/>
  <c r="BS39" i="1"/>
  <c r="BS55" i="1"/>
  <c r="BS71" i="1"/>
  <c r="BS87" i="1"/>
  <c r="BS103" i="1"/>
  <c r="BS119" i="1"/>
  <c r="BR23" i="1"/>
  <c r="BR56" i="1"/>
  <c r="BR68" i="1"/>
  <c r="BR78" i="1"/>
  <c r="BR89" i="1"/>
  <c r="BR100" i="1"/>
  <c r="BR110" i="1"/>
  <c r="BX31" i="1"/>
  <c r="BX90" i="1"/>
  <c r="BW108" i="1"/>
  <c r="BT14" i="1"/>
  <c r="BT47" i="1"/>
  <c r="BT79" i="1"/>
  <c r="BT111" i="1"/>
  <c r="BS31" i="1"/>
  <c r="BS64" i="1"/>
  <c r="BS96" i="1"/>
  <c r="BR16" i="1"/>
  <c r="BR49" i="1"/>
  <c r="BR74" i="1"/>
  <c r="BR96" i="1"/>
  <c r="BR117" i="1"/>
  <c r="BX72" i="1"/>
  <c r="BW96" i="1"/>
  <c r="BW112" i="1"/>
  <c r="BT22" i="1"/>
  <c r="BT55" i="1"/>
  <c r="BT87" i="1"/>
  <c r="BT119" i="1"/>
  <c r="BS40" i="1"/>
  <c r="BS72" i="1"/>
  <c r="BS104" i="1"/>
  <c r="BR24" i="1"/>
  <c r="BR57" i="1"/>
  <c r="BR80" i="1"/>
  <c r="BR101" i="1"/>
  <c r="BX15" i="1"/>
  <c r="BX48" i="1"/>
  <c r="BW80" i="1"/>
  <c r="BW100" i="1"/>
  <c r="BW116" i="1"/>
  <c r="BT30" i="1"/>
  <c r="BT63" i="1"/>
  <c r="BT95" i="1"/>
  <c r="BS15" i="1"/>
  <c r="BS48" i="1"/>
  <c r="BS80" i="1"/>
  <c r="BS112" i="1"/>
  <c r="BR85" i="1"/>
  <c r="BR106" i="1"/>
  <c r="BX23" i="1"/>
  <c r="BX56" i="1"/>
  <c r="BX85" i="1"/>
  <c r="BW104" i="1"/>
  <c r="BW120" i="1"/>
  <c r="BT39" i="1"/>
  <c r="BT71" i="1"/>
  <c r="BT103" i="1"/>
  <c r="BS23" i="1"/>
  <c r="BS56" i="1"/>
  <c r="BS88" i="1"/>
  <c r="BS120" i="1"/>
  <c r="BR41" i="1"/>
  <c r="BR69" i="1"/>
  <c r="BR90" i="1"/>
  <c r="BR112" i="1"/>
  <c r="C7" i="1"/>
  <c r="CH6" i="1"/>
  <c r="C6" i="1"/>
  <c r="D11" i="1"/>
  <c r="C13" i="2"/>
  <c r="K10" i="1"/>
  <c r="AX10" i="1" s="1"/>
  <c r="AY10" i="1" s="1"/>
  <c r="BC10" i="1"/>
  <c r="CI87" i="1" l="1"/>
  <c r="CJ53" i="1"/>
  <c r="CJ40" i="1"/>
  <c r="CH66" i="1"/>
  <c r="CH46" i="1"/>
  <c r="CJ66" i="1"/>
  <c r="CJ91" i="1"/>
  <c r="CJ65" i="1"/>
  <c r="CH49" i="1"/>
  <c r="CI73" i="1"/>
  <c r="CH111" i="1"/>
  <c r="CH118" i="1"/>
  <c r="CH96" i="1"/>
  <c r="CI98" i="1"/>
  <c r="CJ71" i="1"/>
  <c r="CI78" i="1"/>
  <c r="CI70" i="1"/>
  <c r="CI62" i="1"/>
  <c r="CI58" i="1"/>
  <c r="CH44" i="1"/>
  <c r="CJ48" i="1"/>
  <c r="CH109" i="1"/>
  <c r="CI84" i="1"/>
  <c r="CH82" i="1"/>
  <c r="CJ106" i="1"/>
  <c r="CI118" i="1"/>
  <c r="CH95" i="1"/>
  <c r="CJ105" i="1"/>
  <c r="CJ97" i="1"/>
  <c r="CJ89" i="1"/>
  <c r="CH91" i="1"/>
  <c r="CH69" i="1"/>
  <c r="CH58" i="1"/>
  <c r="CH45" i="1"/>
  <c r="CJ46" i="1"/>
  <c r="CJ36" i="1"/>
  <c r="CH107" i="1"/>
  <c r="CI93" i="1"/>
  <c r="CI85" i="1"/>
  <c r="CJ77" i="1"/>
  <c r="CH84" i="1"/>
  <c r="CJ72" i="1"/>
  <c r="CJ64" i="1"/>
  <c r="CI71" i="1"/>
  <c r="CI63" i="1"/>
  <c r="CH62" i="1"/>
  <c r="CH47" i="1"/>
  <c r="CJ67" i="1"/>
  <c r="CI60" i="1"/>
  <c r="CJ54" i="1"/>
  <c r="CH39" i="1"/>
  <c r="CI96" i="1"/>
  <c r="CI82" i="1"/>
  <c r="CJ73" i="1"/>
  <c r="CJ112" i="1"/>
  <c r="CH104" i="1"/>
  <c r="CI107" i="1"/>
  <c r="CH110" i="1"/>
  <c r="CI104" i="1"/>
  <c r="CJ95" i="1"/>
  <c r="CJ87" i="1"/>
  <c r="CH87" i="1"/>
  <c r="CH65" i="1"/>
  <c r="CH54" i="1"/>
  <c r="CI56" i="1"/>
  <c r="CJ44" i="1"/>
  <c r="CH117" i="1"/>
  <c r="CI92" i="1"/>
  <c r="CJ76" i="1"/>
  <c r="CI76" i="1"/>
  <c r="CI68" i="1"/>
  <c r="CH57" i="1"/>
  <c r="CJ120" i="1"/>
  <c r="CJ103" i="1"/>
  <c r="CI103" i="1"/>
  <c r="CH86" i="1"/>
  <c r="CJ63" i="1"/>
  <c r="CI74" i="1"/>
  <c r="CI66" i="1"/>
  <c r="CH68" i="1"/>
  <c r="CH53" i="1"/>
  <c r="CJ52" i="1"/>
  <c r="CI42" i="1"/>
  <c r="CI110" i="1"/>
  <c r="CI94" i="1"/>
  <c r="CJ78" i="1"/>
  <c r="CJ69" i="1"/>
  <c r="CJ118" i="1"/>
  <c r="CJ110" i="1"/>
  <c r="CH102" i="1"/>
  <c r="CH106" i="1"/>
  <c r="CI101" i="1"/>
  <c r="CJ101" i="1"/>
  <c r="CJ93" i="1"/>
  <c r="CJ85" i="1"/>
  <c r="CH83" i="1"/>
  <c r="CI54" i="1"/>
  <c r="CI46" i="1"/>
  <c r="CJ42" i="1"/>
  <c r="CI97" i="1"/>
  <c r="CI89" i="1"/>
  <c r="CJ81" i="1"/>
  <c r="CH92" i="1"/>
  <c r="CH76" i="1"/>
  <c r="CJ68" i="1"/>
  <c r="CJ60" i="1"/>
  <c r="CI75" i="1"/>
  <c r="CI67" i="1"/>
  <c r="CH70" i="1"/>
  <c r="CH55" i="1"/>
  <c r="CJ55" i="1"/>
  <c r="CJ47" i="1"/>
  <c r="CI39" i="1"/>
  <c r="CH36" i="1"/>
  <c r="CH42" i="1"/>
  <c r="CI41" i="1"/>
  <c r="CI45" i="1"/>
  <c r="CI77" i="1"/>
  <c r="CJ70" i="1"/>
  <c r="CH71" i="1"/>
  <c r="CI91" i="1"/>
  <c r="CH119" i="1"/>
  <c r="CI44" i="1"/>
  <c r="CJ58" i="1"/>
  <c r="CJ99" i="1"/>
  <c r="CH99" i="1"/>
  <c r="CH90" i="1"/>
  <c r="CH64" i="1"/>
  <c r="CH78" i="1"/>
  <c r="CI65" i="1"/>
  <c r="CI48" i="1"/>
  <c r="CJ75" i="1"/>
  <c r="CI90" i="1"/>
  <c r="CI40" i="1"/>
  <c r="CI64" i="1"/>
  <c r="CI86" i="1"/>
  <c r="CH40" i="1"/>
  <c r="CI81" i="1"/>
  <c r="CH74" i="1"/>
  <c r="CI95" i="1"/>
  <c r="CJ49" i="1"/>
  <c r="CH59" i="1"/>
  <c r="CI69" i="1"/>
  <c r="CJ62" i="1"/>
  <c r="CI83" i="1"/>
  <c r="CI105" i="1"/>
  <c r="CI52" i="1"/>
  <c r="CJ83" i="1"/>
  <c r="CH100" i="1"/>
  <c r="CJ116" i="1"/>
  <c r="CI72" i="1"/>
  <c r="CI99" i="1"/>
  <c r="CH41" i="1"/>
  <c r="CI36" i="1"/>
  <c r="CJ45" i="1"/>
  <c r="CI47" i="1"/>
  <c r="CI55" i="1"/>
  <c r="CH60" i="1"/>
  <c r="CH63" i="1"/>
  <c r="CI59" i="1"/>
  <c r="CH77" i="1"/>
  <c r="CH93" i="1"/>
  <c r="CH72" i="1"/>
  <c r="CH75" i="1"/>
  <c r="CJ82" i="1"/>
  <c r="CJ90" i="1"/>
  <c r="CJ98" i="1"/>
  <c r="CH73" i="1"/>
  <c r="CH116" i="1"/>
  <c r="CH94" i="1"/>
  <c r="CI53" i="1"/>
  <c r="CH48" i="1"/>
  <c r="CH67" i="1"/>
  <c r="CH81" i="1"/>
  <c r="CJ96" i="1"/>
  <c r="CJ104" i="1"/>
  <c r="CI102" i="1"/>
  <c r="CH97" i="1"/>
  <c r="CI116" i="1"/>
  <c r="CJ111" i="1"/>
  <c r="CJ41" i="1"/>
  <c r="CH52" i="1"/>
  <c r="CJ57" i="1"/>
  <c r="CH85" i="1"/>
  <c r="CJ86" i="1"/>
  <c r="CJ94" i="1"/>
  <c r="CJ102" i="1"/>
  <c r="CI120" i="1"/>
  <c r="CI100" i="1"/>
  <c r="CI106" i="1"/>
  <c r="CI117" i="1"/>
  <c r="CH101" i="1"/>
  <c r="CJ109" i="1"/>
  <c r="CJ117" i="1"/>
  <c r="CI119" i="1"/>
  <c r="CH103" i="1"/>
  <c r="CJ119" i="1"/>
  <c r="CJ39" i="1"/>
  <c r="CI49" i="1"/>
  <c r="CI57" i="1"/>
  <c r="CH56" i="1"/>
  <c r="CJ59" i="1"/>
  <c r="CJ56" i="1"/>
  <c r="CH89" i="1"/>
  <c r="CJ74" i="1"/>
  <c r="CJ84" i="1"/>
  <c r="CJ92" i="1"/>
  <c r="CJ100" i="1"/>
  <c r="CH112" i="1"/>
  <c r="CI111" i="1"/>
  <c r="CJ107" i="1"/>
  <c r="CI112" i="1"/>
  <c r="CH98" i="1"/>
  <c r="CH105" i="1"/>
  <c r="CH120" i="1"/>
  <c r="CI109" i="1"/>
  <c r="D12" i="1"/>
  <c r="C14" i="2"/>
  <c r="BC11" i="1"/>
  <c r="K11" i="1"/>
  <c r="AX11" i="1" s="1"/>
  <c r="AY11" i="1" s="1"/>
  <c r="D13" i="1" l="1"/>
  <c r="C15" i="2"/>
  <c r="BC12" i="1"/>
  <c r="K12" i="1"/>
  <c r="AX12" i="1" s="1"/>
  <c r="AY12" i="1" s="1"/>
  <c r="D14" i="1" l="1"/>
  <c r="C16" i="2"/>
  <c r="K13" i="1"/>
  <c r="AX13" i="1" s="1"/>
  <c r="AY13" i="1" s="1"/>
  <c r="BC13" i="1"/>
  <c r="CI113" i="1" l="1"/>
  <c r="CH113" i="1"/>
  <c r="CJ113" i="1"/>
  <c r="CH43" i="1"/>
  <c r="CJ43" i="1"/>
  <c r="CI43" i="1"/>
  <c r="D15" i="1"/>
  <c r="C17" i="2"/>
  <c r="K14" i="1"/>
  <c r="AX14" i="1" s="1"/>
  <c r="AY14" i="1" s="1"/>
  <c r="BC14" i="1"/>
  <c r="BC15" i="1" l="1"/>
  <c r="K15" i="1"/>
  <c r="AX15" i="1" s="1"/>
  <c r="AY15" i="1" s="1"/>
  <c r="C18" i="2"/>
  <c r="D16" i="1"/>
  <c r="K16" i="1" l="1"/>
  <c r="AX16" i="1" s="1"/>
  <c r="AY16" i="1" s="1"/>
  <c r="BC16" i="1"/>
  <c r="C19" i="2"/>
  <c r="D17" i="1"/>
  <c r="K17" i="1" l="1"/>
  <c r="AX17" i="1" s="1"/>
  <c r="AY17" i="1" s="1"/>
  <c r="BC17" i="1"/>
  <c r="D18" i="1"/>
  <c r="C20" i="2"/>
  <c r="D19" i="1" l="1"/>
  <c r="C21" i="2"/>
  <c r="K18" i="1"/>
  <c r="AX18" i="1" s="1"/>
  <c r="AY18" i="1" s="1"/>
  <c r="BC18" i="1"/>
  <c r="D20" i="1" l="1"/>
  <c r="C22" i="2"/>
  <c r="K19" i="1"/>
  <c r="AX19" i="1" s="1"/>
  <c r="AY19" i="1" s="1"/>
  <c r="BC19" i="1"/>
  <c r="D21" i="1" l="1"/>
  <c r="C23" i="2"/>
  <c r="K20" i="1"/>
  <c r="AX20" i="1" s="1"/>
  <c r="AY20" i="1" s="1"/>
  <c r="BC20" i="1"/>
  <c r="K21" i="1" l="1"/>
  <c r="AX21" i="1" s="1"/>
  <c r="AY21" i="1" s="1"/>
  <c r="BC21" i="1"/>
  <c r="C24" i="2"/>
  <c r="D22" i="1"/>
  <c r="K22" i="1" l="1"/>
  <c r="AX22" i="1" s="1"/>
  <c r="AY22" i="1" s="1"/>
  <c r="BC22" i="1"/>
  <c r="C25" i="2"/>
  <c r="D23" i="1"/>
  <c r="K23" i="1" l="1"/>
  <c r="AX23" i="1" s="1"/>
  <c r="AY23" i="1" s="1"/>
  <c r="BC23" i="1"/>
  <c r="C26" i="2"/>
  <c r="D24" i="1"/>
  <c r="BC24" i="1" l="1"/>
  <c r="K24" i="1"/>
  <c r="AX24" i="1" s="1"/>
  <c r="AY24" i="1" s="1"/>
  <c r="D25" i="1"/>
  <c r="C27" i="2"/>
  <c r="D26" i="1" l="1"/>
  <c r="C28" i="2"/>
  <c r="K25" i="1"/>
  <c r="AX25" i="1" s="1"/>
  <c r="AY25" i="1" s="1"/>
  <c r="BC25" i="1"/>
  <c r="D27" i="1" l="1"/>
  <c r="C29" i="2"/>
  <c r="K26" i="1"/>
  <c r="AX26" i="1" s="1"/>
  <c r="AY26" i="1" s="1"/>
  <c r="BC26" i="1"/>
  <c r="K27" i="1" l="1"/>
  <c r="AX27" i="1" s="1"/>
  <c r="AY27" i="1" s="1"/>
  <c r="BC27" i="1"/>
  <c r="D28" i="1"/>
  <c r="C30" i="2"/>
  <c r="D29" i="1" l="1"/>
  <c r="C31" i="2"/>
  <c r="K28" i="1"/>
  <c r="AX28" i="1" s="1"/>
  <c r="AY28" i="1" s="1"/>
  <c r="BC28" i="1"/>
  <c r="D30" i="1" l="1"/>
  <c r="C32" i="2"/>
  <c r="K29" i="1"/>
  <c r="AX29" i="1" s="1"/>
  <c r="AY29" i="1" s="1"/>
  <c r="BC29" i="1"/>
  <c r="K30" i="1" l="1"/>
  <c r="AX30" i="1" s="1"/>
  <c r="AY30" i="1" s="1"/>
  <c r="BC30" i="1"/>
  <c r="D31" i="1"/>
  <c r="C33" i="2"/>
  <c r="K31" i="1" l="1"/>
  <c r="AX31" i="1" s="1"/>
  <c r="AY31" i="1" s="1"/>
  <c r="BC31" i="1"/>
  <c r="D32" i="1"/>
  <c r="C34" i="2"/>
  <c r="K32" i="1" l="1"/>
  <c r="AX32" i="1" s="1"/>
  <c r="AY32" i="1" s="1"/>
  <c r="BC32" i="1"/>
  <c r="C35" i="2"/>
  <c r="D33" i="1"/>
  <c r="C36" i="2" l="1"/>
  <c r="D34" i="1"/>
  <c r="K33" i="1"/>
  <c r="AX33" i="1" s="1"/>
  <c r="AY33" i="1" s="1"/>
  <c r="BC33" i="1"/>
  <c r="K34" i="1" l="1"/>
  <c r="AX34" i="1" s="1"/>
  <c r="AY34" i="1" s="1"/>
  <c r="BC34" i="1"/>
  <c r="D35" i="1"/>
  <c r="C37" i="2"/>
  <c r="F10" i="2" l="1"/>
  <c r="D36" i="1"/>
  <c r="K35" i="1"/>
  <c r="AX35" i="1" s="1"/>
  <c r="AY35" i="1" s="1"/>
  <c r="BC35" i="1"/>
  <c r="BC36" i="1" l="1"/>
  <c r="K36" i="1"/>
  <c r="AX36" i="1" s="1"/>
  <c r="AY36" i="1" s="1"/>
  <c r="D37" i="1"/>
  <c r="F11" i="2"/>
  <c r="BC37" i="1" l="1"/>
  <c r="BD8" i="1" s="1"/>
  <c r="K37" i="1"/>
  <c r="AX37" i="1" s="1"/>
  <c r="AY37" i="1" s="1"/>
  <c r="F12" i="2"/>
  <c r="D38" i="1"/>
  <c r="BC38" i="1" l="1"/>
  <c r="K38" i="1"/>
  <c r="AX38" i="1" s="1"/>
  <c r="AY38" i="1" s="1"/>
  <c r="F13" i="2"/>
  <c r="D39" i="1"/>
  <c r="BH28" i="1" l="1"/>
  <c r="BF28" i="1"/>
  <c r="BG28" i="1"/>
  <c r="BC39" i="1"/>
  <c r="K39" i="1"/>
  <c r="AX39" i="1" s="1"/>
  <c r="AY39" i="1" s="1"/>
  <c r="D40" i="1"/>
  <c r="F14" i="2"/>
  <c r="F15" i="2" l="1"/>
  <c r="D41" i="1"/>
  <c r="K40" i="1"/>
  <c r="AX40" i="1" s="1"/>
  <c r="AY40" i="1" s="1"/>
  <c r="BC40" i="1"/>
  <c r="BE8" i="1" s="1"/>
  <c r="F16" i="2" l="1"/>
  <c r="D42" i="1"/>
  <c r="BC41" i="1"/>
  <c r="K41" i="1"/>
  <c r="AX41" i="1" s="1"/>
  <c r="AY41" i="1" s="1"/>
  <c r="BH40" i="1" l="1"/>
  <c r="BF40" i="1"/>
  <c r="BG40" i="1"/>
  <c r="BC42" i="1"/>
  <c r="K42" i="1"/>
  <c r="AX42" i="1" s="1"/>
  <c r="AY42" i="1" s="1"/>
  <c r="F17" i="2"/>
  <c r="D43" i="1"/>
  <c r="F18" i="2" l="1"/>
  <c r="D44" i="1"/>
  <c r="BC43" i="1"/>
  <c r="K43" i="1"/>
  <c r="AX43" i="1" s="1"/>
  <c r="AY43" i="1" s="1"/>
  <c r="BC44" i="1" l="1"/>
  <c r="K44" i="1"/>
  <c r="AX44" i="1" s="1"/>
  <c r="AY44" i="1" s="1"/>
  <c r="D45" i="1"/>
  <c r="F19" i="2"/>
  <c r="K45" i="1" l="1"/>
  <c r="AX45" i="1" s="1"/>
  <c r="AY45" i="1" s="1"/>
  <c r="BC45" i="1"/>
  <c r="F20" i="2"/>
  <c r="D46" i="1"/>
  <c r="BC46" i="1" l="1"/>
  <c r="K46" i="1"/>
  <c r="AX46" i="1" s="1"/>
  <c r="AY46" i="1" s="1"/>
  <c r="F21" i="2"/>
  <c r="D47" i="1"/>
  <c r="K47" i="1" l="1"/>
  <c r="AX47" i="1" s="1"/>
  <c r="AY47" i="1" s="1"/>
  <c r="BC47" i="1"/>
  <c r="BJ8" i="1" s="1"/>
  <c r="D48" i="1"/>
  <c r="F22" i="2"/>
  <c r="K48" i="1" l="1"/>
  <c r="AX48" i="1" s="1"/>
  <c r="AY48" i="1" s="1"/>
  <c r="BC48" i="1"/>
  <c r="F23" i="2"/>
  <c r="D49" i="1"/>
  <c r="D50" i="1" l="1"/>
  <c r="F24" i="2"/>
  <c r="K49" i="1"/>
  <c r="AX49" i="1" s="1"/>
  <c r="AY49" i="1" s="1"/>
  <c r="BC49" i="1"/>
  <c r="F25" i="2" l="1"/>
  <c r="D51" i="1"/>
  <c r="K50" i="1"/>
  <c r="AX50" i="1" s="1"/>
  <c r="AY50" i="1" s="1"/>
  <c r="BC50" i="1"/>
  <c r="K51" i="1" l="1"/>
  <c r="AX51" i="1" s="1"/>
  <c r="AY51" i="1" s="1"/>
  <c r="BC51" i="1"/>
  <c r="F26" i="2"/>
  <c r="D52" i="1"/>
  <c r="K52" i="1" l="1"/>
  <c r="AX52" i="1" s="1"/>
  <c r="AY52" i="1" s="1"/>
  <c r="BC52" i="1"/>
  <c r="F27" i="2"/>
  <c r="D53" i="1"/>
  <c r="K53" i="1" l="1"/>
  <c r="AX53" i="1" s="1"/>
  <c r="AY53" i="1" s="1"/>
  <c r="BC53" i="1"/>
  <c r="D54" i="1"/>
  <c r="F28" i="2"/>
  <c r="F29" i="2" l="1"/>
  <c r="D55" i="1"/>
  <c r="K54" i="1"/>
  <c r="AX54" i="1" s="1"/>
  <c r="AY54" i="1" s="1"/>
  <c r="BC54" i="1"/>
  <c r="BF8" i="1" s="1"/>
  <c r="BB54" i="1" l="1"/>
  <c r="K55" i="1"/>
  <c r="AX55" i="1" s="1"/>
  <c r="AY55" i="1" s="1"/>
  <c r="BC55" i="1"/>
  <c r="F30" i="2"/>
  <c r="D56" i="1"/>
  <c r="BH54" i="1" l="1"/>
  <c r="BG54" i="1"/>
  <c r="BE54" i="1"/>
  <c r="F31" i="2"/>
  <c r="D57" i="1"/>
  <c r="K56" i="1"/>
  <c r="AX56" i="1" s="1"/>
  <c r="AY56" i="1" s="1"/>
  <c r="BC56" i="1"/>
  <c r="F32" i="2" l="1"/>
  <c r="D58" i="1"/>
  <c r="BC57" i="1"/>
  <c r="K57" i="1"/>
  <c r="AX57" i="1" s="1"/>
  <c r="AY57" i="1" s="1"/>
  <c r="BC58" i="1" l="1"/>
  <c r="K58" i="1"/>
  <c r="AX58" i="1" s="1"/>
  <c r="AY58" i="1" s="1"/>
  <c r="F33" i="2"/>
  <c r="D59" i="1"/>
  <c r="F34" i="2" l="1"/>
  <c r="D60" i="1"/>
  <c r="BC59" i="1"/>
  <c r="K59" i="1"/>
  <c r="AX59" i="1" s="1"/>
  <c r="AY59" i="1" s="1"/>
  <c r="BC60" i="1" l="1"/>
  <c r="K60" i="1"/>
  <c r="AX60" i="1" s="1"/>
  <c r="AY60" i="1" s="1"/>
  <c r="D61" i="1"/>
  <c r="F35" i="2"/>
  <c r="K61" i="1" l="1"/>
  <c r="AX61" i="1" s="1"/>
  <c r="AY61" i="1" s="1"/>
  <c r="BC61" i="1"/>
  <c r="F36" i="2"/>
  <c r="D62" i="1"/>
  <c r="K62" i="1" l="1"/>
  <c r="AX62" i="1" s="1"/>
  <c r="AY62" i="1" s="1"/>
  <c r="BC62" i="1"/>
  <c r="F37" i="2"/>
  <c r="D63" i="1"/>
  <c r="I10" i="2" l="1"/>
  <c r="D64" i="1"/>
  <c r="K63" i="1"/>
  <c r="AX63" i="1" s="1"/>
  <c r="AY63" i="1" s="1"/>
  <c r="BC63" i="1"/>
  <c r="BG8" i="1" s="1"/>
  <c r="K64" i="1" l="1"/>
  <c r="AX64" i="1" s="1"/>
  <c r="AY64" i="1" s="1"/>
  <c r="BC64" i="1"/>
  <c r="BB63" i="1"/>
  <c r="I11" i="2"/>
  <c r="D65" i="1"/>
  <c r="BH63" i="1" l="1"/>
  <c r="BF63" i="1"/>
  <c r="I12" i="2"/>
  <c r="D66" i="1"/>
  <c r="BE63" i="1"/>
  <c r="K65" i="1"/>
  <c r="AX65" i="1" s="1"/>
  <c r="AY65" i="1" s="1"/>
  <c r="BC65" i="1"/>
  <c r="K66" i="1" l="1"/>
  <c r="AX66" i="1" s="1"/>
  <c r="AY66" i="1" s="1"/>
  <c r="BC66" i="1"/>
  <c r="I13" i="2"/>
  <c r="D67" i="1"/>
  <c r="K67" i="1" l="1"/>
  <c r="AX67" i="1" s="1"/>
  <c r="AY67" i="1" s="1"/>
  <c r="BC67" i="1"/>
  <c r="I14" i="2"/>
  <c r="D68" i="1"/>
  <c r="K68" i="1" l="1"/>
  <c r="AX68" i="1" s="1"/>
  <c r="AY68" i="1" s="1"/>
  <c r="BC68" i="1"/>
  <c r="I15" i="2"/>
  <c r="D69" i="1"/>
  <c r="K69" i="1" l="1"/>
  <c r="AX69" i="1" s="1"/>
  <c r="AY69" i="1" s="1"/>
  <c r="BC69" i="1"/>
  <c r="I16" i="2"/>
  <c r="D70" i="1"/>
  <c r="K70" i="1" l="1"/>
  <c r="AX70" i="1" s="1"/>
  <c r="AY70" i="1" s="1"/>
  <c r="BC70" i="1"/>
  <c r="I17" i="2"/>
  <c r="D71" i="1"/>
  <c r="I18" i="2" l="1"/>
  <c r="D72" i="1"/>
  <c r="K71" i="1"/>
  <c r="AX71" i="1" s="1"/>
  <c r="AY71" i="1" s="1"/>
  <c r="BC71" i="1"/>
  <c r="K72" i="1" l="1"/>
  <c r="AX72" i="1" s="1"/>
  <c r="AY72" i="1" s="1"/>
  <c r="BC72" i="1"/>
  <c r="I19" i="2"/>
  <c r="D73" i="1"/>
  <c r="I20" i="2" l="1"/>
  <c r="D74" i="1"/>
  <c r="K73" i="1"/>
  <c r="AX73" i="1" s="1"/>
  <c r="AY73" i="1" s="1"/>
  <c r="BC73" i="1"/>
  <c r="K74" i="1" l="1"/>
  <c r="AX74" i="1" s="1"/>
  <c r="AY74" i="1" s="1"/>
  <c r="BC74" i="1"/>
  <c r="I21" i="2"/>
  <c r="D75" i="1"/>
  <c r="K75" i="1" l="1"/>
  <c r="AX75" i="1" s="1"/>
  <c r="AY75" i="1" s="1"/>
  <c r="BC75" i="1"/>
  <c r="I22" i="2"/>
  <c r="D76" i="1"/>
  <c r="I23" i="2" l="1"/>
  <c r="D77" i="1"/>
  <c r="K76" i="1"/>
  <c r="AX76" i="1" s="1"/>
  <c r="AY76" i="1" s="1"/>
  <c r="BC76" i="1"/>
  <c r="I24" i="2" l="1"/>
  <c r="D78" i="1"/>
  <c r="K77" i="1"/>
  <c r="AX77" i="1" s="1"/>
  <c r="AY77" i="1" s="1"/>
  <c r="BC77" i="1"/>
  <c r="K78" i="1" l="1"/>
  <c r="AX78" i="1" s="1"/>
  <c r="AY78" i="1" s="1"/>
  <c r="BC78" i="1"/>
  <c r="I25" i="2"/>
  <c r="D79" i="1"/>
  <c r="K79" i="1" l="1"/>
  <c r="AX79" i="1" s="1"/>
  <c r="AY79" i="1" s="1"/>
  <c r="BC79" i="1"/>
  <c r="I26" i="2"/>
  <c r="D80" i="1"/>
  <c r="K80" i="1" l="1"/>
  <c r="AX80" i="1" s="1"/>
  <c r="AY80" i="1" s="1"/>
  <c r="BC80" i="1"/>
  <c r="I27" i="2"/>
  <c r="D81" i="1"/>
  <c r="K81" i="1" l="1"/>
  <c r="AX81" i="1" s="1"/>
  <c r="AY81" i="1" s="1"/>
  <c r="BC81" i="1"/>
  <c r="I28" i="2"/>
  <c r="D82" i="1"/>
  <c r="K82" i="1" l="1"/>
  <c r="AX82" i="1" s="1"/>
  <c r="AY82" i="1" s="1"/>
  <c r="BC82" i="1"/>
  <c r="I29" i="2"/>
  <c r="D83" i="1"/>
  <c r="K83" i="1" l="1"/>
  <c r="AX83" i="1" s="1"/>
  <c r="AY83" i="1" s="1"/>
  <c r="BC83" i="1"/>
  <c r="I30" i="2"/>
  <c r="D84" i="1"/>
  <c r="K84" i="1" l="1"/>
  <c r="AX84" i="1" s="1"/>
  <c r="AY84" i="1" s="1"/>
  <c r="BC84" i="1"/>
  <c r="I31" i="2"/>
  <c r="D85" i="1"/>
  <c r="I32" i="2" l="1"/>
  <c r="D86" i="1"/>
  <c r="K85" i="1"/>
  <c r="AX85" i="1" s="1"/>
  <c r="AY85" i="1" s="1"/>
  <c r="BC85" i="1"/>
  <c r="K86" i="1" l="1"/>
  <c r="AX86" i="1" s="1"/>
  <c r="AY86" i="1" s="1"/>
  <c r="BC86" i="1"/>
  <c r="I33" i="2"/>
  <c r="D87" i="1"/>
  <c r="K87" i="1" l="1"/>
  <c r="AX87" i="1" s="1"/>
  <c r="AY87" i="1" s="1"/>
  <c r="BC87" i="1"/>
  <c r="I34" i="2"/>
  <c r="D88" i="1"/>
  <c r="K88" i="1" l="1"/>
  <c r="AX88" i="1" s="1"/>
  <c r="AY88" i="1" s="1"/>
  <c r="BC88" i="1"/>
  <c r="I35" i="2"/>
  <c r="D89" i="1"/>
  <c r="K89" i="1" l="1"/>
  <c r="AX89" i="1" s="1"/>
  <c r="AY89" i="1" s="1"/>
  <c r="BC89" i="1"/>
  <c r="I36" i="2"/>
  <c r="D90" i="1"/>
  <c r="I37" i="2" l="1"/>
  <c r="D91" i="1"/>
  <c r="K90" i="1"/>
  <c r="AX90" i="1" s="1"/>
  <c r="AY90" i="1" s="1"/>
  <c r="BC90" i="1"/>
  <c r="K91" i="1" l="1"/>
  <c r="AX91" i="1" s="1"/>
  <c r="AY91" i="1" s="1"/>
  <c r="BC91" i="1"/>
  <c r="L10" i="2"/>
  <c r="D92" i="1"/>
  <c r="K92" i="1" l="1"/>
  <c r="AX92" i="1" s="1"/>
  <c r="AY92" i="1" s="1"/>
  <c r="BC92" i="1"/>
  <c r="D93" i="1"/>
  <c r="L11" i="2"/>
  <c r="BL8" i="1" l="1"/>
  <c r="BK8" i="1"/>
  <c r="L12" i="2"/>
  <c r="D94" i="1"/>
  <c r="K93" i="1"/>
  <c r="AX93" i="1" s="1"/>
  <c r="AY93" i="1" s="1"/>
  <c r="BC93" i="1"/>
  <c r="K94" i="1" l="1"/>
  <c r="AX94" i="1" s="1"/>
  <c r="AY94" i="1" s="1"/>
  <c r="BC94" i="1"/>
  <c r="D95" i="1"/>
  <c r="L13" i="2"/>
  <c r="L14" i="2" l="1"/>
  <c r="D96" i="1"/>
  <c r="K95" i="1"/>
  <c r="AX95" i="1" s="1"/>
  <c r="AY95" i="1" s="1"/>
  <c r="BC95" i="1"/>
  <c r="K96" i="1" l="1"/>
  <c r="AX96" i="1" s="1"/>
  <c r="AY96" i="1" s="1"/>
  <c r="BC96" i="1"/>
  <c r="BM8" i="1" s="1"/>
  <c r="BI40" i="1" s="1"/>
  <c r="D97" i="1"/>
  <c r="L15" i="2"/>
  <c r="BK40" i="1" l="1"/>
  <c r="BL40" i="1"/>
  <c r="BM40" i="1"/>
  <c r="BI10" i="1"/>
  <c r="BI14" i="1"/>
  <c r="BI18" i="1"/>
  <c r="BI22" i="1"/>
  <c r="BI26" i="1"/>
  <c r="BI30" i="1"/>
  <c r="BI34" i="1"/>
  <c r="BI38" i="1"/>
  <c r="BI42" i="1"/>
  <c r="BI46" i="1"/>
  <c r="BI50" i="1"/>
  <c r="BI54" i="1"/>
  <c r="BI58" i="1"/>
  <c r="BI62" i="1"/>
  <c r="BI66" i="1"/>
  <c r="BI70" i="1"/>
  <c r="BI74" i="1"/>
  <c r="BI78" i="1"/>
  <c r="BI82" i="1"/>
  <c r="BI86" i="1"/>
  <c r="BI90" i="1"/>
  <c r="BI94" i="1"/>
  <c r="BI17" i="1"/>
  <c r="BI25" i="1"/>
  <c r="BI33" i="1"/>
  <c r="BI41" i="1"/>
  <c r="BI53" i="1"/>
  <c r="BI65" i="1"/>
  <c r="BI81" i="1"/>
  <c r="BI93" i="1"/>
  <c r="BI11" i="1"/>
  <c r="BI15" i="1"/>
  <c r="BI19" i="1"/>
  <c r="BI23" i="1"/>
  <c r="BI27" i="1"/>
  <c r="BI31" i="1"/>
  <c r="BI35" i="1"/>
  <c r="BI39" i="1"/>
  <c r="BI43" i="1"/>
  <c r="BI47" i="1"/>
  <c r="BI51" i="1"/>
  <c r="BI55" i="1"/>
  <c r="BI59" i="1"/>
  <c r="BI63" i="1"/>
  <c r="BI67" i="1"/>
  <c r="BI71" i="1"/>
  <c r="BI75" i="1"/>
  <c r="BI79" i="1"/>
  <c r="BI83" i="1"/>
  <c r="BI87" i="1"/>
  <c r="BI91" i="1"/>
  <c r="BI95" i="1"/>
  <c r="BI21" i="1"/>
  <c r="BI45" i="1"/>
  <c r="BI57" i="1"/>
  <c r="BI69" i="1"/>
  <c r="BI77" i="1"/>
  <c r="BI89" i="1"/>
  <c r="BI12" i="1"/>
  <c r="BI16" i="1"/>
  <c r="BI20" i="1"/>
  <c r="BI24" i="1"/>
  <c r="BI28" i="1"/>
  <c r="BI32" i="1"/>
  <c r="BI36" i="1"/>
  <c r="BI44" i="1"/>
  <c r="BI48" i="1"/>
  <c r="BI52" i="1"/>
  <c r="BI56" i="1"/>
  <c r="BI60" i="1"/>
  <c r="BI64" i="1"/>
  <c r="BI68" i="1"/>
  <c r="BI72" i="1"/>
  <c r="BI76" i="1"/>
  <c r="BI80" i="1"/>
  <c r="BI84" i="1"/>
  <c r="BI88" i="1"/>
  <c r="BI92" i="1"/>
  <c r="BI96" i="1"/>
  <c r="BI13" i="1"/>
  <c r="BI29" i="1"/>
  <c r="BI37" i="1"/>
  <c r="BI49" i="1"/>
  <c r="BI61" i="1"/>
  <c r="BI73" i="1"/>
  <c r="BI85" i="1"/>
  <c r="BI9" i="1"/>
  <c r="L16" i="2"/>
  <c r="D98" i="1"/>
  <c r="K97" i="1"/>
  <c r="AX97" i="1" s="1"/>
  <c r="AY97" i="1" s="1"/>
  <c r="BC97" i="1"/>
  <c r="BI97" i="1" s="1"/>
  <c r="BK37" i="1" l="1"/>
  <c r="BL37" i="1"/>
  <c r="BM37" i="1"/>
  <c r="BK84" i="1"/>
  <c r="BL84" i="1"/>
  <c r="BM84" i="1"/>
  <c r="BK52" i="1"/>
  <c r="BL52" i="1"/>
  <c r="BM52" i="1"/>
  <c r="BK16" i="1"/>
  <c r="BL16" i="1"/>
  <c r="BM16" i="1"/>
  <c r="BK63" i="1"/>
  <c r="BL63" i="1"/>
  <c r="BM63" i="1"/>
  <c r="BK31" i="1"/>
  <c r="BL31" i="1"/>
  <c r="BM31" i="1"/>
  <c r="BL93" i="1"/>
  <c r="BM93" i="1"/>
  <c r="BK93" i="1"/>
  <c r="BK70" i="1"/>
  <c r="BL70" i="1"/>
  <c r="BM70" i="1"/>
  <c r="BK22" i="1"/>
  <c r="BL22" i="1"/>
  <c r="BM22" i="1"/>
  <c r="BK73" i="1"/>
  <c r="BL73" i="1"/>
  <c r="BM73" i="1"/>
  <c r="BK29" i="1"/>
  <c r="BL29" i="1"/>
  <c r="BM29" i="1"/>
  <c r="BK96" i="1"/>
  <c r="BL96" i="1"/>
  <c r="BK80" i="1"/>
  <c r="BL80" i="1"/>
  <c r="BM80" i="1"/>
  <c r="BK64" i="1"/>
  <c r="BL64" i="1"/>
  <c r="BM64" i="1"/>
  <c r="BK48" i="1"/>
  <c r="BL48" i="1"/>
  <c r="BM48" i="1"/>
  <c r="BK28" i="1"/>
  <c r="BL28" i="1"/>
  <c r="BM28" i="1"/>
  <c r="BK12" i="1"/>
  <c r="BL12" i="1"/>
  <c r="BM12" i="1"/>
  <c r="BL77" i="1"/>
  <c r="BM77" i="1"/>
  <c r="BK21" i="1"/>
  <c r="BL21" i="1"/>
  <c r="BM21" i="1"/>
  <c r="BL91" i="1"/>
  <c r="BK91" i="1"/>
  <c r="BM91" i="1"/>
  <c r="BK75" i="1"/>
  <c r="BL75" i="1"/>
  <c r="BM75" i="1"/>
  <c r="BK59" i="1"/>
  <c r="BL59" i="1"/>
  <c r="BM59" i="1"/>
  <c r="BK43" i="1"/>
  <c r="BL43" i="1"/>
  <c r="BM43" i="1"/>
  <c r="BK27" i="1"/>
  <c r="BL27" i="1"/>
  <c r="BM27" i="1"/>
  <c r="BK11" i="1"/>
  <c r="BL11" i="1"/>
  <c r="BM11" i="1"/>
  <c r="BK81" i="1"/>
  <c r="BL81" i="1"/>
  <c r="BM81" i="1"/>
  <c r="BK33" i="1"/>
  <c r="BL33" i="1"/>
  <c r="BM33" i="1"/>
  <c r="BK82" i="1"/>
  <c r="BL82" i="1"/>
  <c r="BM82" i="1"/>
  <c r="BK66" i="1"/>
  <c r="BL66" i="1"/>
  <c r="BM66" i="1"/>
  <c r="BK50" i="1"/>
  <c r="BL50" i="1"/>
  <c r="BM50" i="1"/>
  <c r="BK34" i="1"/>
  <c r="BL34" i="1"/>
  <c r="BM34" i="1"/>
  <c r="BK18" i="1"/>
  <c r="BL18" i="1"/>
  <c r="BM18" i="1"/>
  <c r="BK97" i="1"/>
  <c r="BL97" i="1"/>
  <c r="BM97" i="1"/>
  <c r="BK85" i="1"/>
  <c r="BL85" i="1"/>
  <c r="BM85" i="1"/>
  <c r="BK68" i="1"/>
  <c r="BL68" i="1"/>
  <c r="BM68" i="1"/>
  <c r="BK32" i="1"/>
  <c r="BL32" i="1"/>
  <c r="BM32" i="1"/>
  <c r="BL89" i="1"/>
  <c r="BK89" i="1"/>
  <c r="BM89" i="1"/>
  <c r="BK45" i="1"/>
  <c r="BL45" i="1"/>
  <c r="BM45" i="1"/>
  <c r="BK95" i="1"/>
  <c r="BL95" i="1"/>
  <c r="BM95" i="1"/>
  <c r="BL79" i="1"/>
  <c r="BM79" i="1"/>
  <c r="BK47" i="1"/>
  <c r="BL47" i="1"/>
  <c r="BM47" i="1"/>
  <c r="BK15" i="1"/>
  <c r="BL15" i="1"/>
  <c r="BM15" i="1"/>
  <c r="BK41" i="1"/>
  <c r="BL41" i="1"/>
  <c r="BM41" i="1"/>
  <c r="BK86" i="1"/>
  <c r="BL86" i="1"/>
  <c r="BM86" i="1"/>
  <c r="BK54" i="1"/>
  <c r="BL54" i="1"/>
  <c r="BM54" i="1"/>
  <c r="BK38" i="1"/>
  <c r="BL38" i="1"/>
  <c r="BM38" i="1"/>
  <c r="BK61" i="1"/>
  <c r="BL61" i="1"/>
  <c r="BM61" i="1"/>
  <c r="BK13" i="1"/>
  <c r="BL13" i="1"/>
  <c r="BM13" i="1"/>
  <c r="BM92" i="1"/>
  <c r="BL76" i="1"/>
  <c r="BM76" i="1"/>
  <c r="BK60" i="1"/>
  <c r="BL60" i="1"/>
  <c r="BM60" i="1"/>
  <c r="BK44" i="1"/>
  <c r="BL44" i="1"/>
  <c r="BM44" i="1"/>
  <c r="BK24" i="1"/>
  <c r="BL24" i="1"/>
  <c r="BM24" i="1"/>
  <c r="BK69" i="1"/>
  <c r="BL69" i="1"/>
  <c r="BM69" i="1"/>
  <c r="BK87" i="1"/>
  <c r="BL87" i="1"/>
  <c r="BM87" i="1"/>
  <c r="BK71" i="1"/>
  <c r="BL71" i="1"/>
  <c r="BM71" i="1"/>
  <c r="BK55" i="1"/>
  <c r="BL55" i="1"/>
  <c r="BM55" i="1"/>
  <c r="BK39" i="1"/>
  <c r="BL39" i="1"/>
  <c r="BM39" i="1"/>
  <c r="BK23" i="1"/>
  <c r="BL23" i="1"/>
  <c r="BM23" i="1"/>
  <c r="BK65" i="1"/>
  <c r="BL65" i="1"/>
  <c r="BM65" i="1"/>
  <c r="BK25" i="1"/>
  <c r="BL25" i="1"/>
  <c r="BM25" i="1"/>
  <c r="BL94" i="1"/>
  <c r="BM94" i="1"/>
  <c r="BK94" i="1"/>
  <c r="BK78" i="1"/>
  <c r="BL78" i="1"/>
  <c r="BM78" i="1"/>
  <c r="BK62" i="1"/>
  <c r="BL62" i="1"/>
  <c r="BM62" i="1"/>
  <c r="BK46" i="1"/>
  <c r="BL46" i="1"/>
  <c r="BM46" i="1"/>
  <c r="BK30" i="1"/>
  <c r="BL30" i="1"/>
  <c r="BM30" i="1"/>
  <c r="BK14" i="1"/>
  <c r="BL14" i="1"/>
  <c r="BM14" i="1"/>
  <c r="BK49" i="1"/>
  <c r="BL49" i="1"/>
  <c r="BM49" i="1"/>
  <c r="BL88" i="1"/>
  <c r="BM88" i="1"/>
  <c r="BK88" i="1"/>
  <c r="BK72" i="1"/>
  <c r="BL72" i="1"/>
  <c r="BM72" i="1"/>
  <c r="BK56" i="1"/>
  <c r="BL56" i="1"/>
  <c r="BM56" i="1"/>
  <c r="BK36" i="1"/>
  <c r="BL36" i="1"/>
  <c r="BM36" i="1"/>
  <c r="BK20" i="1"/>
  <c r="BL20" i="1"/>
  <c r="BM20" i="1"/>
  <c r="BK57" i="1"/>
  <c r="BL57" i="1"/>
  <c r="BM57" i="1"/>
  <c r="BK83" i="1"/>
  <c r="BL83" i="1"/>
  <c r="BM83" i="1"/>
  <c r="BK67" i="1"/>
  <c r="BL67" i="1"/>
  <c r="BM67" i="1"/>
  <c r="BK51" i="1"/>
  <c r="BL51" i="1"/>
  <c r="BM51" i="1"/>
  <c r="BK35" i="1"/>
  <c r="BL35" i="1"/>
  <c r="BM35" i="1"/>
  <c r="BK19" i="1"/>
  <c r="BL19" i="1"/>
  <c r="BM19" i="1"/>
  <c r="BK53" i="1"/>
  <c r="BL53" i="1"/>
  <c r="BM53" i="1"/>
  <c r="BK17" i="1"/>
  <c r="BL17" i="1"/>
  <c r="BM17" i="1"/>
  <c r="BL90" i="1"/>
  <c r="BK90" i="1"/>
  <c r="BM90" i="1"/>
  <c r="BK74" i="1"/>
  <c r="BL74" i="1"/>
  <c r="BM74" i="1"/>
  <c r="BK58" i="1"/>
  <c r="BL58" i="1"/>
  <c r="BM58" i="1"/>
  <c r="BK42" i="1"/>
  <c r="BL42" i="1"/>
  <c r="BM42" i="1"/>
  <c r="BK26" i="1"/>
  <c r="BL26" i="1"/>
  <c r="BM26" i="1"/>
  <c r="BK10" i="1"/>
  <c r="BL10" i="1"/>
  <c r="BM10" i="1"/>
  <c r="BL9" i="1"/>
  <c r="BM9" i="1"/>
  <c r="BJ9" i="1"/>
  <c r="BK9" i="1"/>
  <c r="K98" i="1"/>
  <c r="AX98" i="1" s="1"/>
  <c r="AY98" i="1" s="1"/>
  <c r="BC98" i="1"/>
  <c r="BI98" i="1" s="1"/>
  <c r="BK98" i="1" s="1"/>
  <c r="D99" i="1"/>
  <c r="L17" i="2"/>
  <c r="BM98" i="1" l="1"/>
  <c r="BL98" i="1"/>
  <c r="L18" i="2"/>
  <c r="D100" i="1"/>
  <c r="K99" i="1"/>
  <c r="AX99" i="1" s="1"/>
  <c r="AY99" i="1" s="1"/>
  <c r="BC99" i="1"/>
  <c r="BI99" i="1" s="1"/>
  <c r="BK99" i="1" l="1"/>
  <c r="BL99" i="1"/>
  <c r="BM99" i="1"/>
  <c r="K100" i="1"/>
  <c r="AX100" i="1" s="1"/>
  <c r="AY100" i="1" s="1"/>
  <c r="BC100" i="1"/>
  <c r="BI100" i="1" s="1"/>
  <c r="L19" i="2"/>
  <c r="D101" i="1"/>
  <c r="BK100" i="1" l="1"/>
  <c r="BL100" i="1"/>
  <c r="BM100" i="1"/>
  <c r="L20" i="2"/>
  <c r="D102" i="1"/>
  <c r="BC101" i="1"/>
  <c r="BI101" i="1" s="1"/>
  <c r="K101" i="1"/>
  <c r="AX101" i="1" s="1"/>
  <c r="AY101" i="1" s="1"/>
  <c r="BK101" i="1" l="1"/>
  <c r="BL101" i="1"/>
  <c r="BM101" i="1"/>
  <c r="K102" i="1"/>
  <c r="AX102" i="1" s="1"/>
  <c r="AY102" i="1" s="1"/>
  <c r="BC102" i="1"/>
  <c r="BI102" i="1" s="1"/>
  <c r="L21" i="2"/>
  <c r="D103" i="1"/>
  <c r="BK102" i="1" l="1"/>
  <c r="BL102" i="1"/>
  <c r="BM102" i="1"/>
  <c r="K103" i="1"/>
  <c r="AX103" i="1" s="1"/>
  <c r="AY103" i="1" s="1"/>
  <c r="BC103" i="1"/>
  <c r="BI103" i="1" s="1"/>
  <c r="L22" i="2"/>
  <c r="D104" i="1"/>
  <c r="BK103" i="1" l="1"/>
  <c r="BL103" i="1"/>
  <c r="BM103" i="1"/>
  <c r="L23" i="2"/>
  <c r="D105" i="1"/>
  <c r="K104" i="1"/>
  <c r="AX104" i="1" s="1"/>
  <c r="AY104" i="1" s="1"/>
  <c r="BC104" i="1"/>
  <c r="BI104" i="1" s="1"/>
  <c r="BK104" i="1" l="1"/>
  <c r="BL104" i="1"/>
  <c r="BM104" i="1"/>
  <c r="K105" i="1"/>
  <c r="AX105" i="1" s="1"/>
  <c r="AY105" i="1" s="1"/>
  <c r="BC105" i="1"/>
  <c r="BI105" i="1" s="1"/>
  <c r="D106" i="1"/>
  <c r="L24" i="2"/>
  <c r="BL105" i="1" l="1"/>
  <c r="BM105" i="1"/>
  <c r="BK105" i="1"/>
  <c r="L25" i="2"/>
  <c r="D107" i="1"/>
  <c r="K106" i="1"/>
  <c r="AX106" i="1" s="1"/>
  <c r="AY106" i="1" s="1"/>
  <c r="BC106" i="1"/>
  <c r="BI106" i="1" s="1"/>
  <c r="BK106" i="1" l="1"/>
  <c r="BL106" i="1"/>
  <c r="BM106" i="1"/>
  <c r="BC107" i="1"/>
  <c r="BI107" i="1" s="1"/>
  <c r="K107" i="1"/>
  <c r="AX107" i="1" s="1"/>
  <c r="AY107" i="1" s="1"/>
  <c r="L26" i="2"/>
  <c r="D108" i="1"/>
  <c r="BK107" i="1" l="1"/>
  <c r="BL107" i="1"/>
  <c r="BM107" i="1"/>
  <c r="L27" i="2"/>
  <c r="D109" i="1"/>
  <c r="BC108" i="1"/>
  <c r="BI108" i="1" s="1"/>
  <c r="K108" i="1"/>
  <c r="AX108" i="1" s="1"/>
  <c r="AY108" i="1" s="1"/>
  <c r="BM108" i="1" l="1"/>
  <c r="BK108" i="1"/>
  <c r="BL108" i="1"/>
  <c r="BC109" i="1"/>
  <c r="BI109" i="1" s="1"/>
  <c r="K109" i="1"/>
  <c r="AX109" i="1" s="1"/>
  <c r="AY109" i="1" s="1"/>
  <c r="L28" i="2"/>
  <c r="D110" i="1"/>
  <c r="BM109" i="1" l="1"/>
  <c r="BK109" i="1"/>
  <c r="BL109" i="1"/>
  <c r="BC110" i="1"/>
  <c r="BI110" i="1" s="1"/>
  <c r="K110" i="1"/>
  <c r="AX110" i="1" s="1"/>
  <c r="AY110" i="1" s="1"/>
  <c r="L29" i="2"/>
  <c r="D111" i="1"/>
  <c r="BK110" i="1" l="1"/>
  <c r="BL110" i="1"/>
  <c r="BM110" i="1"/>
  <c r="BC111" i="1"/>
  <c r="BI111" i="1" s="1"/>
  <c r="K111" i="1"/>
  <c r="AX111" i="1" s="1"/>
  <c r="AY111" i="1" s="1"/>
  <c r="L30" i="2"/>
  <c r="D112" i="1"/>
  <c r="BK111" i="1" l="1"/>
  <c r="BL111" i="1"/>
  <c r="BM111" i="1"/>
  <c r="BC112" i="1"/>
  <c r="BI112" i="1" s="1"/>
  <c r="K112" i="1"/>
  <c r="AX112" i="1" s="1"/>
  <c r="AY112" i="1" s="1"/>
  <c r="L31" i="2"/>
  <c r="D113" i="1"/>
  <c r="BK112" i="1" l="1"/>
  <c r="BM112" i="1"/>
  <c r="BL112" i="1"/>
  <c r="BC113" i="1"/>
  <c r="K113" i="1"/>
  <c r="AX113" i="1" s="1"/>
  <c r="AY113" i="1" s="1"/>
  <c r="L32" i="2"/>
  <c r="D114" i="1"/>
  <c r="BH8" i="1" l="1"/>
  <c r="BB40" i="1" s="1"/>
  <c r="BI113" i="1"/>
  <c r="BC114" i="1"/>
  <c r="BI114" i="1" s="1"/>
  <c r="K114" i="1"/>
  <c r="AX114" i="1" s="1"/>
  <c r="AY114" i="1" s="1"/>
  <c r="L33" i="2"/>
  <c r="D115" i="1"/>
  <c r="BB113" i="1" l="1"/>
  <c r="BE113" i="1" s="1"/>
  <c r="BB28" i="1"/>
  <c r="BE28" i="1" s="1"/>
  <c r="BK113" i="1"/>
  <c r="BL113" i="1"/>
  <c r="BM113" i="1"/>
  <c r="BK114" i="1"/>
  <c r="BL114" i="1"/>
  <c r="BM114" i="1"/>
  <c r="BB62" i="1"/>
  <c r="BB53" i="1"/>
  <c r="BB10" i="1"/>
  <c r="BB25" i="1"/>
  <c r="BB36" i="1"/>
  <c r="BB27" i="1"/>
  <c r="BB44" i="1"/>
  <c r="BB24" i="1"/>
  <c r="BB20" i="1"/>
  <c r="BB49" i="1"/>
  <c r="BB19" i="1"/>
  <c r="BB42" i="1"/>
  <c r="BB56" i="1"/>
  <c r="BB60" i="1"/>
  <c r="BB39" i="1"/>
  <c r="BB22" i="1"/>
  <c r="BB43" i="1"/>
  <c r="BB14" i="1"/>
  <c r="BB26" i="1"/>
  <c r="BB48" i="1"/>
  <c r="BB31" i="1"/>
  <c r="BB35" i="1"/>
  <c r="BB37" i="1"/>
  <c r="BB13" i="1"/>
  <c r="BB46" i="1"/>
  <c r="BB57" i="1"/>
  <c r="BB61" i="1"/>
  <c r="BB58" i="1"/>
  <c r="BB11" i="1"/>
  <c r="BB33" i="1"/>
  <c r="BB47" i="1"/>
  <c r="BB9" i="1"/>
  <c r="BB29" i="1"/>
  <c r="BB52" i="1"/>
  <c r="BB18" i="1"/>
  <c r="BB41" i="1"/>
  <c r="BB23" i="1"/>
  <c r="BB12" i="1"/>
  <c r="BB50" i="1"/>
  <c r="BB38" i="1"/>
  <c r="BB34" i="1"/>
  <c r="BB51" i="1"/>
  <c r="BB30" i="1"/>
  <c r="BB15" i="1"/>
  <c r="BB21" i="1"/>
  <c r="BB16" i="1"/>
  <c r="BB45" i="1"/>
  <c r="BB32" i="1"/>
  <c r="BB17" i="1"/>
  <c r="BB55" i="1"/>
  <c r="BB59"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F113" i="1"/>
  <c r="BG113" i="1"/>
  <c r="BB114" i="1"/>
  <c r="BC115" i="1"/>
  <c r="BI115" i="1" s="1"/>
  <c r="K115" i="1"/>
  <c r="AX115" i="1" s="1"/>
  <c r="AY115" i="1" s="1"/>
  <c r="L34" i="2"/>
  <c r="D116" i="1"/>
  <c r="BG112" i="1" l="1"/>
  <c r="BE112" i="1"/>
  <c r="BH112" i="1"/>
  <c r="BF112" i="1"/>
  <c r="BH108" i="1"/>
  <c r="BF108" i="1"/>
  <c r="BG108" i="1"/>
  <c r="BE108" i="1"/>
  <c r="BH104" i="1"/>
  <c r="BF104" i="1"/>
  <c r="BG104" i="1"/>
  <c r="BE104" i="1"/>
  <c r="BH100" i="1"/>
  <c r="BE100" i="1"/>
  <c r="BG100" i="1"/>
  <c r="BF100" i="1"/>
  <c r="BH96" i="1"/>
  <c r="BG96" i="1"/>
  <c r="BE96" i="1"/>
  <c r="BF96" i="1"/>
  <c r="BH92" i="1"/>
  <c r="BF92" i="1"/>
  <c r="BE92" i="1"/>
  <c r="BG92" i="1"/>
  <c r="BF88" i="1"/>
  <c r="BG88" i="1"/>
  <c r="BH88" i="1"/>
  <c r="BE88" i="1"/>
  <c r="BF84" i="1"/>
  <c r="BG84" i="1"/>
  <c r="BE84" i="1"/>
  <c r="BH84" i="1"/>
  <c r="BH80" i="1"/>
  <c r="BF80" i="1"/>
  <c r="BG80" i="1"/>
  <c r="BE80" i="1"/>
  <c r="BH76" i="1"/>
  <c r="BF76" i="1"/>
  <c r="BG76" i="1"/>
  <c r="BE76" i="1"/>
  <c r="BH72" i="1"/>
  <c r="BE72" i="1"/>
  <c r="BF72" i="1"/>
  <c r="BG72" i="1"/>
  <c r="BF68" i="1"/>
  <c r="BG68" i="1"/>
  <c r="BE68" i="1"/>
  <c r="BH68" i="1"/>
  <c r="BH64" i="1"/>
  <c r="BF64" i="1"/>
  <c r="BE64" i="1"/>
  <c r="BG64" i="1"/>
  <c r="BG32" i="1"/>
  <c r="BE32" i="1"/>
  <c r="BH32" i="1"/>
  <c r="BF32" i="1"/>
  <c r="BG15" i="1"/>
  <c r="BE15" i="1"/>
  <c r="BH15" i="1"/>
  <c r="BF15" i="1"/>
  <c r="BH38" i="1"/>
  <c r="BF38" i="1"/>
  <c r="BG38" i="1"/>
  <c r="BH41" i="1"/>
  <c r="BF41" i="1"/>
  <c r="BG41" i="1"/>
  <c r="BE41" i="1"/>
  <c r="BE9" i="1"/>
  <c r="BD9" i="1"/>
  <c r="BF9" i="1"/>
  <c r="BG9" i="1"/>
  <c r="BH9" i="1"/>
  <c r="BH58" i="1"/>
  <c r="BF58" i="1"/>
  <c r="BG58" i="1"/>
  <c r="BE58" i="1"/>
  <c r="BF13" i="1"/>
  <c r="BH13" i="1"/>
  <c r="BG13" i="1"/>
  <c r="BE13" i="1"/>
  <c r="BH48" i="1"/>
  <c r="BF48" i="1"/>
  <c r="BE48" i="1"/>
  <c r="BG48" i="1"/>
  <c r="BE22" i="1"/>
  <c r="BH22" i="1"/>
  <c r="BF22" i="1"/>
  <c r="BG22" i="1"/>
  <c r="BH42" i="1"/>
  <c r="BF42" i="1"/>
  <c r="BG42" i="1"/>
  <c r="BE42" i="1"/>
  <c r="BF24" i="1"/>
  <c r="BG24" i="1"/>
  <c r="BE24" i="1"/>
  <c r="BH24" i="1"/>
  <c r="BE25" i="1"/>
  <c r="BH25" i="1"/>
  <c r="BF25" i="1"/>
  <c r="BH111" i="1"/>
  <c r="BF111" i="1"/>
  <c r="BG111" i="1"/>
  <c r="BE111" i="1"/>
  <c r="BH107" i="1"/>
  <c r="BF107" i="1"/>
  <c r="BE107" i="1"/>
  <c r="BG107" i="1"/>
  <c r="BH103" i="1"/>
  <c r="BF103" i="1"/>
  <c r="BE103" i="1"/>
  <c r="BG103" i="1"/>
  <c r="BH99" i="1"/>
  <c r="BF99" i="1"/>
  <c r="BE99" i="1"/>
  <c r="BG99" i="1"/>
  <c r="BF95" i="1"/>
  <c r="BG95" i="1"/>
  <c r="BE95" i="1"/>
  <c r="BH95" i="1"/>
  <c r="BF91" i="1"/>
  <c r="BG91" i="1"/>
  <c r="BE91" i="1"/>
  <c r="BH91" i="1"/>
  <c r="BH87" i="1"/>
  <c r="BF87" i="1"/>
  <c r="BG87" i="1"/>
  <c r="BE87" i="1"/>
  <c r="BH83" i="1"/>
  <c r="BF83" i="1"/>
  <c r="BG83" i="1"/>
  <c r="BE83" i="1"/>
  <c r="BH79" i="1"/>
  <c r="BF79" i="1"/>
  <c r="BG79" i="1"/>
  <c r="BE79" i="1"/>
  <c r="BH75" i="1"/>
  <c r="BG75" i="1"/>
  <c r="BF75" i="1"/>
  <c r="BE75" i="1"/>
  <c r="BH71" i="1"/>
  <c r="BE71" i="1"/>
  <c r="BF71" i="1"/>
  <c r="BG71" i="1"/>
  <c r="BH67" i="1"/>
  <c r="BF67" i="1"/>
  <c r="BG67" i="1"/>
  <c r="BE67" i="1"/>
  <c r="BH59" i="1"/>
  <c r="BF59" i="1"/>
  <c r="BE59" i="1"/>
  <c r="BG59" i="1"/>
  <c r="BH45" i="1"/>
  <c r="BF45" i="1"/>
  <c r="BE45" i="1"/>
  <c r="BG45" i="1"/>
  <c r="BH30" i="1"/>
  <c r="BF30" i="1"/>
  <c r="BG30" i="1"/>
  <c r="BE30" i="1"/>
  <c r="BF50" i="1"/>
  <c r="BE50" i="1"/>
  <c r="BG50" i="1"/>
  <c r="BH50" i="1"/>
  <c r="BH18" i="1"/>
  <c r="BG18" i="1"/>
  <c r="BE18" i="1"/>
  <c r="BH47" i="1"/>
  <c r="BF47" i="1"/>
  <c r="BG47" i="1"/>
  <c r="BE47" i="1"/>
  <c r="BH61" i="1"/>
  <c r="BF61" i="1"/>
  <c r="BE61" i="1"/>
  <c r="BG61" i="1"/>
  <c r="BG37" i="1"/>
  <c r="BH37" i="1"/>
  <c r="BF37" i="1"/>
  <c r="BG26" i="1"/>
  <c r="BH26" i="1"/>
  <c r="BF26" i="1"/>
  <c r="BF39" i="1"/>
  <c r="BG39" i="1"/>
  <c r="BH39" i="1"/>
  <c r="BE39" i="1"/>
  <c r="BH19" i="1"/>
  <c r="BF19" i="1"/>
  <c r="BE19" i="1"/>
  <c r="BG19" i="1"/>
  <c r="BF44" i="1"/>
  <c r="BG44" i="1"/>
  <c r="BE44" i="1"/>
  <c r="BH44" i="1"/>
  <c r="BH10" i="1"/>
  <c r="BG10" i="1"/>
  <c r="BF10" i="1"/>
  <c r="BE10" i="1"/>
  <c r="BH110" i="1"/>
  <c r="BF110" i="1"/>
  <c r="BG110" i="1"/>
  <c r="BE110" i="1"/>
  <c r="BH102" i="1"/>
  <c r="BF102" i="1"/>
  <c r="BG102" i="1"/>
  <c r="BE102" i="1"/>
  <c r="BH98" i="1"/>
  <c r="BF98" i="1"/>
  <c r="BE98" i="1"/>
  <c r="BG98" i="1"/>
  <c r="BH94" i="1"/>
  <c r="BF94" i="1"/>
  <c r="BG94" i="1"/>
  <c r="BE94" i="1"/>
  <c r="BH90" i="1"/>
  <c r="BF90" i="1"/>
  <c r="BG90" i="1"/>
  <c r="BE90" i="1"/>
  <c r="BH86" i="1"/>
  <c r="BF86" i="1"/>
  <c r="BG86" i="1"/>
  <c r="BE86" i="1"/>
  <c r="BH82" i="1"/>
  <c r="BE82" i="1"/>
  <c r="BF82" i="1"/>
  <c r="BG82" i="1"/>
  <c r="BH78" i="1"/>
  <c r="BF78" i="1"/>
  <c r="BE78" i="1"/>
  <c r="BG78" i="1"/>
  <c r="BH74" i="1"/>
  <c r="BF74" i="1"/>
  <c r="BE74" i="1"/>
  <c r="BG74" i="1"/>
  <c r="BH70" i="1"/>
  <c r="BE70" i="1"/>
  <c r="BF70" i="1"/>
  <c r="BG70" i="1"/>
  <c r="BH66" i="1"/>
  <c r="BE66" i="1"/>
  <c r="BF66" i="1"/>
  <c r="BG66" i="1"/>
  <c r="BH55" i="1"/>
  <c r="BF55" i="1"/>
  <c r="BE55" i="1"/>
  <c r="BG55" i="1"/>
  <c r="BH16" i="1"/>
  <c r="BG16" i="1"/>
  <c r="BE16" i="1"/>
  <c r="BF16" i="1"/>
  <c r="BH51" i="1"/>
  <c r="BF51" i="1"/>
  <c r="BG51" i="1"/>
  <c r="BE51" i="1"/>
  <c r="BE12" i="1"/>
  <c r="BH12" i="1"/>
  <c r="BF12" i="1"/>
  <c r="BG12" i="1"/>
  <c r="BH52" i="1"/>
  <c r="BF52" i="1"/>
  <c r="BE52" i="1"/>
  <c r="BG52" i="1"/>
  <c r="BH33" i="1"/>
  <c r="BG33" i="1"/>
  <c r="BE33" i="1"/>
  <c r="BF33" i="1"/>
  <c r="BH57" i="1"/>
  <c r="BE57" i="1"/>
  <c r="BF57" i="1"/>
  <c r="BG57" i="1"/>
  <c r="BH35" i="1"/>
  <c r="BG35" i="1"/>
  <c r="BE35" i="1"/>
  <c r="BF35" i="1"/>
  <c r="BH14" i="1"/>
  <c r="BF14" i="1"/>
  <c r="BG14" i="1"/>
  <c r="BE14" i="1"/>
  <c r="BF60" i="1"/>
  <c r="BG60" i="1"/>
  <c r="BH60" i="1"/>
  <c r="BE60" i="1"/>
  <c r="BH49" i="1"/>
  <c r="BE49" i="1"/>
  <c r="BF49" i="1"/>
  <c r="BG49" i="1"/>
  <c r="BE27" i="1"/>
  <c r="BH27" i="1"/>
  <c r="BF27" i="1"/>
  <c r="BG27" i="1"/>
  <c r="BG53" i="1"/>
  <c r="BE53" i="1"/>
  <c r="BH53" i="1"/>
  <c r="BF53" i="1"/>
  <c r="BH106" i="1"/>
  <c r="BF106" i="1"/>
  <c r="BG106" i="1"/>
  <c r="BE106" i="1"/>
  <c r="BK115" i="1"/>
  <c r="BL115" i="1"/>
  <c r="BM115" i="1"/>
  <c r="BH109" i="1"/>
  <c r="BF109" i="1"/>
  <c r="BG109" i="1"/>
  <c r="BE109" i="1"/>
  <c r="BH105" i="1"/>
  <c r="BF105" i="1"/>
  <c r="BG105" i="1"/>
  <c r="BE105" i="1"/>
  <c r="BH101" i="1"/>
  <c r="BF101" i="1"/>
  <c r="BG101" i="1"/>
  <c r="BE101" i="1"/>
  <c r="BF97" i="1"/>
  <c r="BG97" i="1"/>
  <c r="BE97" i="1"/>
  <c r="BH97" i="1"/>
  <c r="BH93" i="1"/>
  <c r="BF93" i="1"/>
  <c r="BG93" i="1"/>
  <c r="BE93" i="1"/>
  <c r="BF89" i="1"/>
  <c r="BG89" i="1"/>
  <c r="BE89" i="1"/>
  <c r="BH89" i="1"/>
  <c r="BH85" i="1"/>
  <c r="BF85" i="1"/>
  <c r="BG85" i="1"/>
  <c r="BE85" i="1"/>
  <c r="BH81" i="1"/>
  <c r="BF81" i="1"/>
  <c r="BE81" i="1"/>
  <c r="BG81" i="1"/>
  <c r="BH77" i="1"/>
  <c r="BE77" i="1"/>
  <c r="BF77" i="1"/>
  <c r="BG77" i="1"/>
  <c r="BH73" i="1"/>
  <c r="BE73" i="1"/>
  <c r="BF73" i="1"/>
  <c r="BG73" i="1"/>
  <c r="BH69" i="1"/>
  <c r="BF69" i="1"/>
  <c r="BE69" i="1"/>
  <c r="BG69" i="1"/>
  <c r="BH65" i="1"/>
  <c r="BF65" i="1"/>
  <c r="BG65" i="1"/>
  <c r="BE65" i="1"/>
  <c r="BF17" i="1"/>
  <c r="BG17" i="1"/>
  <c r="BE17" i="1"/>
  <c r="BF21" i="1"/>
  <c r="BG21" i="1"/>
  <c r="BE21" i="1"/>
  <c r="BE34" i="1"/>
  <c r="BH34" i="1"/>
  <c r="BF34" i="1"/>
  <c r="BG34" i="1"/>
  <c r="BE23" i="1"/>
  <c r="BH23" i="1"/>
  <c r="BF23" i="1"/>
  <c r="BG23" i="1"/>
  <c r="BF29" i="1"/>
  <c r="BH29" i="1"/>
  <c r="BG29" i="1"/>
  <c r="BE29" i="1"/>
  <c r="BH11" i="1"/>
  <c r="BG11" i="1"/>
  <c r="BF11" i="1"/>
  <c r="BE11" i="1"/>
  <c r="BH46" i="1"/>
  <c r="BE46" i="1"/>
  <c r="BF46" i="1"/>
  <c r="BG46" i="1"/>
  <c r="BH31" i="1"/>
  <c r="BF31" i="1"/>
  <c r="BG31" i="1"/>
  <c r="BH43" i="1"/>
  <c r="BF43" i="1"/>
  <c r="BG43" i="1"/>
  <c r="BE43" i="1"/>
  <c r="BF56" i="1"/>
  <c r="BG56" i="1"/>
  <c r="BE56" i="1"/>
  <c r="BH56" i="1"/>
  <c r="BH20" i="1"/>
  <c r="BF20" i="1"/>
  <c r="BG20" i="1"/>
  <c r="BE20" i="1"/>
  <c r="BH36" i="1"/>
  <c r="BF36" i="1"/>
  <c r="BE36" i="1"/>
  <c r="BG36" i="1"/>
  <c r="BE62" i="1"/>
  <c r="BH62" i="1"/>
  <c r="BF62" i="1"/>
  <c r="BG62" i="1"/>
  <c r="BH114" i="1"/>
  <c r="BF114" i="1"/>
  <c r="BG114" i="1"/>
  <c r="L35" i="2"/>
  <c r="D117" i="1"/>
  <c r="BC116" i="1"/>
  <c r="BI116" i="1" s="1"/>
  <c r="K116" i="1"/>
  <c r="AX116" i="1" s="1"/>
  <c r="AY116" i="1" s="1"/>
  <c r="BE114" i="1"/>
  <c r="BB115" i="1"/>
  <c r="BK116" i="1" l="1"/>
  <c r="BL116" i="1"/>
  <c r="BM116" i="1"/>
  <c r="BH115" i="1"/>
  <c r="BF115" i="1"/>
  <c r="BG115" i="1"/>
  <c r="BB116" i="1"/>
  <c r="BE115" i="1"/>
  <c r="BC117" i="1"/>
  <c r="BI117" i="1" s="1"/>
  <c r="K117" i="1"/>
  <c r="AX117" i="1" s="1"/>
  <c r="AY117" i="1" s="1"/>
  <c r="L36" i="2"/>
  <c r="D118" i="1"/>
  <c r="BK117" i="1" l="1"/>
  <c r="BL117" i="1"/>
  <c r="BM117" i="1"/>
  <c r="BH116" i="1"/>
  <c r="BF116" i="1"/>
  <c r="BG116" i="1"/>
  <c r="L37" i="2"/>
  <c r="D120" i="1" s="1"/>
  <c r="D119" i="1"/>
  <c r="BE116" i="1"/>
  <c r="BC118" i="1"/>
  <c r="BI118" i="1" s="1"/>
  <c r="K118" i="1"/>
  <c r="AX118" i="1" s="1"/>
  <c r="AY118" i="1" s="1"/>
  <c r="BB117" i="1"/>
  <c r="BM118" i="1" l="1"/>
  <c r="BK118" i="1"/>
  <c r="BL118" i="1"/>
  <c r="BH117" i="1"/>
  <c r="BF117" i="1"/>
  <c r="BG117" i="1"/>
  <c r="BE117" i="1"/>
  <c r="BC119" i="1"/>
  <c r="BI119" i="1" s="1"/>
  <c r="K119" i="1"/>
  <c r="AX119" i="1" s="1"/>
  <c r="AY119" i="1" s="1"/>
  <c r="BB118" i="1"/>
  <c r="BC120" i="1"/>
  <c r="BI120" i="1" s="1"/>
  <c r="K120" i="1"/>
  <c r="AX120" i="1" s="1"/>
  <c r="AY120" i="1" s="1"/>
  <c r="BK120" i="1" l="1"/>
  <c r="BL120" i="1"/>
  <c r="BM120" i="1"/>
  <c r="BK119" i="1"/>
  <c r="BL119" i="1"/>
  <c r="BM119" i="1"/>
  <c r="BH118" i="1"/>
  <c r="BF118" i="1"/>
  <c r="BG118" i="1"/>
  <c r="BB120" i="1"/>
  <c r="BB119" i="1"/>
  <c r="BE118" i="1"/>
  <c r="BH120" i="1" l="1"/>
  <c r="BH119" i="1"/>
  <c r="BF119" i="1"/>
  <c r="BG119" i="1"/>
  <c r="BF120" i="1"/>
  <c r="BG120" i="1"/>
  <c r="BE119" i="1"/>
  <c r="BE120" i="1"/>
  <c r="BC3" i="1"/>
  <c r="AC2" i="1"/>
  <c r="Z2" i="1"/>
  <c r="Z4" i="1" l="1"/>
  <c r="AO2" i="1" l="1"/>
  <c r="AO3" i="1" s="1"/>
  <c r="AN4" i="1" s="1"/>
  <c r="F7" i="1" l="1"/>
  <c r="F4" i="1"/>
  <c r="F5" i="1"/>
  <c r="G124" i="1" s="1"/>
  <c r="F3" i="1"/>
  <c r="F6" i="1"/>
  <c r="G117" i="1" l="1"/>
  <c r="G118" i="1"/>
  <c r="G119" i="1"/>
  <c r="G120" i="1"/>
  <c r="G22" i="1"/>
  <c r="G38" i="1"/>
  <c r="G54" i="1"/>
  <c r="G70" i="1"/>
  <c r="G86" i="1"/>
  <c r="G102" i="1"/>
  <c r="G112" i="1"/>
  <c r="G37" i="1"/>
  <c r="G77" i="1"/>
  <c r="G9" i="1"/>
  <c r="G23" i="1"/>
  <c r="G39" i="1"/>
  <c r="G55" i="1"/>
  <c r="G71" i="1"/>
  <c r="G87" i="1"/>
  <c r="G103" i="1"/>
  <c r="G116" i="1"/>
  <c r="G57" i="1"/>
  <c r="G109" i="1"/>
  <c r="G24" i="1"/>
  <c r="G40" i="1"/>
  <c r="G56" i="1"/>
  <c r="G80" i="1"/>
  <c r="G17" i="1"/>
  <c r="G65" i="1"/>
  <c r="G10" i="1"/>
  <c r="G26" i="1"/>
  <c r="G42" i="1"/>
  <c r="G58" i="1"/>
  <c r="G74" i="1"/>
  <c r="G90" i="1"/>
  <c r="G106" i="1"/>
  <c r="G68" i="1"/>
  <c r="G49" i="1"/>
  <c r="G89" i="1"/>
  <c r="G11" i="1"/>
  <c r="G27" i="1"/>
  <c r="G43" i="1"/>
  <c r="G59" i="1"/>
  <c r="G75" i="1"/>
  <c r="G91" i="1"/>
  <c r="G107" i="1"/>
  <c r="G64" i="1"/>
  <c r="G21" i="1"/>
  <c r="G73" i="1"/>
  <c r="G12" i="1"/>
  <c r="G28" i="1"/>
  <c r="G44" i="1"/>
  <c r="G60" i="1"/>
  <c r="G84" i="1"/>
  <c r="G33" i="1"/>
  <c r="G81" i="1"/>
  <c r="G14" i="1"/>
  <c r="G30" i="1"/>
  <c r="G46" i="1"/>
  <c r="G62" i="1"/>
  <c r="G78" i="1"/>
  <c r="G94" i="1"/>
  <c r="G110" i="1"/>
  <c r="G92" i="1"/>
  <c r="G13" i="1"/>
  <c r="G61" i="1"/>
  <c r="G101" i="1"/>
  <c r="G15" i="1"/>
  <c r="G31" i="1"/>
  <c r="G47" i="1"/>
  <c r="G63" i="1"/>
  <c r="G79" i="1"/>
  <c r="G95" i="1"/>
  <c r="G111" i="1"/>
  <c r="G88" i="1"/>
  <c r="G29" i="1"/>
  <c r="G85" i="1"/>
  <c r="G16" i="1"/>
  <c r="G32" i="1"/>
  <c r="G48" i="1"/>
  <c r="G72" i="1"/>
  <c r="G96" i="1"/>
  <c r="G45" i="1"/>
  <c r="G97" i="1"/>
  <c r="G18" i="1"/>
  <c r="G34" i="1"/>
  <c r="G50" i="1"/>
  <c r="G66" i="1"/>
  <c r="G82" i="1"/>
  <c r="G98" i="1"/>
  <c r="G114" i="1"/>
  <c r="G100" i="1"/>
  <c r="G25" i="1"/>
  <c r="G69" i="1"/>
  <c r="G105" i="1"/>
  <c r="G19" i="1"/>
  <c r="G35" i="1"/>
  <c r="G51" i="1"/>
  <c r="G67" i="1"/>
  <c r="G83" i="1"/>
  <c r="G99" i="1"/>
  <c r="G115" i="1"/>
  <c r="G104" i="1"/>
  <c r="G41" i="1"/>
  <c r="G93" i="1"/>
  <c r="G20" i="1"/>
  <c r="G36" i="1"/>
  <c r="G52" i="1"/>
  <c r="G76" i="1"/>
  <c r="G108" i="1"/>
  <c r="G53" i="1"/>
  <c r="G113" i="1"/>
  <c r="T120" i="1" l="1"/>
  <c r="W120" i="1"/>
  <c r="L9" i="1"/>
  <c r="N9" i="1" s="1"/>
  <c r="T43" i="1"/>
  <c r="T97" i="1"/>
  <c r="W97" i="1"/>
  <c r="T118" i="1"/>
  <c r="W118" i="1"/>
  <c r="T104" i="1"/>
  <c r="W104" i="1"/>
  <c r="T114" i="1"/>
  <c r="W114" i="1"/>
  <c r="T110" i="1"/>
  <c r="W110" i="1"/>
  <c r="W106" i="1"/>
  <c r="T106" i="1"/>
  <c r="W102" i="1"/>
  <c r="T102" i="1"/>
  <c r="T100" i="1"/>
  <c r="W100" i="1"/>
  <c r="T105" i="1"/>
  <c r="W105" i="1"/>
  <c r="T116" i="1"/>
  <c r="W116" i="1"/>
  <c r="W108" i="1"/>
  <c r="T108" i="1"/>
  <c r="T115" i="1"/>
  <c r="W115" i="1"/>
  <c r="T98" i="1"/>
  <c r="W98" i="1"/>
  <c r="W96" i="1"/>
  <c r="T96" i="1"/>
  <c r="T111" i="1"/>
  <c r="W111" i="1"/>
  <c r="T94" i="1"/>
  <c r="W94" i="1"/>
  <c r="T107" i="1"/>
  <c r="W107" i="1"/>
  <c r="T103" i="1"/>
  <c r="W103" i="1"/>
  <c r="T113" i="1"/>
  <c r="W113" i="1"/>
  <c r="W117" i="1"/>
  <c r="T117" i="1"/>
  <c r="W101" i="1"/>
  <c r="T101" i="1"/>
  <c r="W93" i="1"/>
  <c r="T93" i="1"/>
  <c r="T99" i="1"/>
  <c r="W99" i="1"/>
  <c r="T95" i="1"/>
  <c r="W95" i="1"/>
  <c r="W109" i="1"/>
  <c r="T109" i="1"/>
  <c r="W112" i="1"/>
  <c r="T112" i="1"/>
  <c r="T119" i="1"/>
  <c r="W119" i="1"/>
  <c r="T83" i="1"/>
  <c r="W83" i="1"/>
  <c r="W66" i="1"/>
  <c r="T66" i="1"/>
  <c r="T79" i="1"/>
  <c r="W79" i="1"/>
  <c r="T92" i="1"/>
  <c r="W92" i="1"/>
  <c r="T81" i="1"/>
  <c r="W81" i="1"/>
  <c r="W75" i="1"/>
  <c r="T75" i="1"/>
  <c r="W68" i="1"/>
  <c r="T68" i="1"/>
  <c r="T71" i="1"/>
  <c r="W71" i="1"/>
  <c r="T67" i="1"/>
  <c r="W67" i="1"/>
  <c r="W88" i="1"/>
  <c r="T88" i="1"/>
  <c r="W89" i="1"/>
  <c r="T89" i="1"/>
  <c r="W65" i="1"/>
  <c r="T65" i="1"/>
  <c r="W77" i="1"/>
  <c r="T77" i="1"/>
  <c r="T69" i="1"/>
  <c r="W69" i="1"/>
  <c r="W84" i="1"/>
  <c r="T84" i="1"/>
  <c r="T90" i="1"/>
  <c r="W90" i="1"/>
  <c r="T86" i="1"/>
  <c r="W86" i="1"/>
  <c r="T76" i="1"/>
  <c r="W76" i="1"/>
  <c r="W82" i="1"/>
  <c r="T82" i="1"/>
  <c r="W72" i="1"/>
  <c r="T72" i="1"/>
  <c r="W85" i="1"/>
  <c r="T85" i="1"/>
  <c r="T78" i="1"/>
  <c r="W78" i="1"/>
  <c r="T73" i="1"/>
  <c r="W73" i="1"/>
  <c r="T91" i="1"/>
  <c r="W91" i="1"/>
  <c r="T74" i="1"/>
  <c r="W74" i="1"/>
  <c r="T80" i="1"/>
  <c r="W80" i="1"/>
  <c r="T87" i="1"/>
  <c r="W87" i="1"/>
  <c r="W70" i="1"/>
  <c r="T70" i="1"/>
  <c r="T58" i="1"/>
  <c r="W58" i="1"/>
  <c r="T57" i="1"/>
  <c r="W57" i="1"/>
  <c r="T50" i="1"/>
  <c r="W50" i="1"/>
  <c r="T45" i="1"/>
  <c r="W45" i="1"/>
  <c r="T63" i="1"/>
  <c r="W63" i="1"/>
  <c r="W46" i="1"/>
  <c r="T46" i="1"/>
  <c r="W64" i="1"/>
  <c r="T64" i="1"/>
  <c r="T59" i="1"/>
  <c r="W59" i="1"/>
  <c r="W42" i="1"/>
  <c r="T42" i="1"/>
  <c r="W40" i="1"/>
  <c r="T40" i="1"/>
  <c r="T55" i="1"/>
  <c r="W55" i="1"/>
  <c r="T38" i="1"/>
  <c r="W38" i="1"/>
  <c r="W41" i="1"/>
  <c r="T41" i="1"/>
  <c r="W44" i="1"/>
  <c r="T44" i="1"/>
  <c r="T56" i="1"/>
  <c r="W56" i="1"/>
  <c r="W53" i="1"/>
  <c r="T53" i="1"/>
  <c r="T51" i="1"/>
  <c r="W51" i="1"/>
  <c r="W47" i="1"/>
  <c r="T47" i="1"/>
  <c r="W61" i="1"/>
  <c r="T61" i="1"/>
  <c r="W43" i="1"/>
  <c r="W49" i="1"/>
  <c r="T49" i="1"/>
  <c r="T39" i="1"/>
  <c r="W39" i="1"/>
  <c r="W37" i="1"/>
  <c r="T37" i="1"/>
  <c r="W52" i="1"/>
  <c r="T52" i="1"/>
  <c r="W48" i="1"/>
  <c r="T48" i="1"/>
  <c r="T62" i="1"/>
  <c r="W62" i="1"/>
  <c r="W54" i="1"/>
  <c r="T54" i="1"/>
  <c r="W60" i="1"/>
  <c r="T60" i="1"/>
  <c r="T36" i="1"/>
  <c r="W36" i="1"/>
  <c r="W32" i="1"/>
  <c r="T32" i="1"/>
  <c r="T33" i="1"/>
  <c r="W33" i="1"/>
  <c r="W28" i="1"/>
  <c r="T28" i="1"/>
  <c r="T34" i="1"/>
  <c r="W34" i="1"/>
  <c r="T30" i="1"/>
  <c r="W30" i="1"/>
  <c r="T26" i="1"/>
  <c r="W26" i="1"/>
  <c r="T29" i="1"/>
  <c r="W29" i="1"/>
  <c r="W35" i="1"/>
  <c r="T35" i="1"/>
  <c r="W25" i="1"/>
  <c r="T25" i="1"/>
  <c r="W31" i="1"/>
  <c r="T31" i="1"/>
  <c r="W27" i="1"/>
  <c r="T27" i="1"/>
  <c r="T18" i="1"/>
  <c r="T19" i="1"/>
  <c r="T15" i="1"/>
  <c r="T21" i="1"/>
  <c r="T20" i="1"/>
  <c r="T16" i="1"/>
  <c r="T17" i="1"/>
  <c r="T24" i="1"/>
  <c r="T22" i="1"/>
  <c r="T14" i="1"/>
  <c r="T23" i="1"/>
  <c r="W19" i="1"/>
  <c r="W15" i="1"/>
  <c r="W21" i="1"/>
  <c r="T11" i="1"/>
  <c r="W11" i="1"/>
  <c r="W16" i="1"/>
  <c r="W12" i="1"/>
  <c r="T12" i="1"/>
  <c r="W17" i="1"/>
  <c r="W24" i="1"/>
  <c r="W22" i="1"/>
  <c r="W20" i="1"/>
  <c r="W18" i="1"/>
  <c r="T13" i="1"/>
  <c r="W13" i="1"/>
  <c r="W14" i="1"/>
  <c r="W10" i="1"/>
  <c r="T10" i="1"/>
  <c r="W23" i="1"/>
  <c r="L63" i="1"/>
  <c r="L59" i="1"/>
  <c r="L65" i="1"/>
  <c r="L77" i="1"/>
  <c r="L94" i="1"/>
  <c r="L24" i="1"/>
  <c r="L13" i="1"/>
  <c r="L10" i="1"/>
  <c r="L76" i="1"/>
  <c r="L92" i="1"/>
  <c r="L11" i="1"/>
  <c r="L58" i="1"/>
  <c r="L101" i="1"/>
  <c r="L110" i="1"/>
  <c r="L46" i="1"/>
  <c r="L106" i="1"/>
  <c r="L18" i="1"/>
  <c r="L85" i="1"/>
  <c r="L62" i="1"/>
  <c r="L75" i="1"/>
  <c r="L117" i="1"/>
  <c r="L78" i="1"/>
  <c r="L120" i="1"/>
  <c r="L91" i="1"/>
  <c r="L74" i="1"/>
  <c r="L14" i="1"/>
  <c r="L60" i="1"/>
  <c r="L108" i="1"/>
  <c r="L47" i="1"/>
  <c r="L61" i="1"/>
  <c r="L107" i="1"/>
  <c r="L49" i="1"/>
  <c r="L90" i="1"/>
  <c r="L26" i="1"/>
  <c r="L15" i="1"/>
  <c r="L23" i="1"/>
  <c r="L21" i="1"/>
  <c r="L116" i="1"/>
  <c r="L100" i="1"/>
  <c r="L93" i="1"/>
  <c r="L115" i="1"/>
  <c r="L99" i="1"/>
  <c r="L109" i="1"/>
  <c r="L118" i="1"/>
  <c r="L102" i="1"/>
  <c r="L113" i="1"/>
  <c r="L112" i="1"/>
  <c r="L96" i="1"/>
  <c r="L111" i="1"/>
  <c r="L95" i="1"/>
  <c r="L97" i="1"/>
  <c r="L114" i="1"/>
  <c r="L98" i="1"/>
  <c r="L104" i="1"/>
  <c r="L105" i="1"/>
  <c r="L119" i="1"/>
  <c r="L103" i="1"/>
  <c r="L84" i="1"/>
  <c r="L68" i="1"/>
  <c r="L83" i="1"/>
  <c r="L86" i="1"/>
  <c r="L69" i="1"/>
  <c r="L80" i="1"/>
  <c r="L73" i="1"/>
  <c r="L79" i="1"/>
  <c r="L82" i="1"/>
  <c r="L66" i="1"/>
  <c r="L81" i="1"/>
  <c r="L67" i="1"/>
  <c r="L70" i="1"/>
  <c r="L89" i="1"/>
  <c r="L88" i="1"/>
  <c r="L72" i="1"/>
  <c r="L87" i="1"/>
  <c r="L71" i="1"/>
  <c r="L64" i="1"/>
  <c r="L57" i="1"/>
  <c r="L56" i="1"/>
  <c r="L55" i="1"/>
  <c r="L25" i="1"/>
  <c r="L51" i="1"/>
  <c r="L48" i="1"/>
  <c r="L50" i="1"/>
  <c r="L54" i="1"/>
  <c r="L52" i="1"/>
  <c r="L53" i="1"/>
  <c r="L19" i="1"/>
  <c r="W9" i="1"/>
  <c r="L16" i="1"/>
  <c r="T9" i="1"/>
  <c r="L20" i="1"/>
  <c r="L22" i="1"/>
  <c r="L17" i="1"/>
  <c r="L1" i="1"/>
  <c r="L12" i="1"/>
  <c r="L40" i="1"/>
  <c r="L43" i="1"/>
  <c r="L27" i="1"/>
  <c r="L37" i="1"/>
  <c r="L38" i="1"/>
  <c r="L36" i="1"/>
  <c r="L41" i="1"/>
  <c r="L39" i="1"/>
  <c r="L29" i="1"/>
  <c r="L34" i="1"/>
  <c r="L32" i="1"/>
  <c r="L33" i="1"/>
  <c r="L35" i="1"/>
  <c r="L30" i="1"/>
  <c r="L44" i="1"/>
  <c r="L28" i="1"/>
  <c r="L31" i="1"/>
  <c r="F41" i="2"/>
  <c r="L45" i="1"/>
  <c r="L42" i="1"/>
  <c r="M44" i="1" l="1"/>
  <c r="M12" i="1"/>
  <c r="M70" i="1"/>
  <c r="M84" i="1"/>
  <c r="M109" i="1"/>
  <c r="M108" i="1"/>
  <c r="M74" i="1"/>
  <c r="M117" i="1"/>
  <c r="M59" i="1"/>
  <c r="M28" i="1"/>
  <c r="M33" i="1"/>
  <c r="M39" i="1"/>
  <c r="M37" i="1"/>
  <c r="M22" i="1"/>
  <c r="M52" i="1"/>
  <c r="M50" i="1"/>
  <c r="M51" i="1"/>
  <c r="M71" i="1"/>
  <c r="M89" i="1"/>
  <c r="M66" i="1"/>
  <c r="M80" i="1"/>
  <c r="M68" i="1"/>
  <c r="M104" i="1"/>
  <c r="M114" i="1"/>
  <c r="M96" i="1"/>
  <c r="M118" i="1"/>
  <c r="M93" i="1"/>
  <c r="M15" i="1"/>
  <c r="M90" i="1"/>
  <c r="M61" i="1"/>
  <c r="M60" i="1"/>
  <c r="M91" i="1"/>
  <c r="M75" i="1"/>
  <c r="M106" i="1"/>
  <c r="M58" i="1"/>
  <c r="M13" i="1"/>
  <c r="M94" i="1"/>
  <c r="M63" i="1"/>
  <c r="M32" i="1"/>
  <c r="M27" i="1"/>
  <c r="M57" i="1"/>
  <c r="M82" i="1"/>
  <c r="M103" i="1"/>
  <c r="M97" i="1"/>
  <c r="M101" i="1"/>
  <c r="M16" i="1"/>
  <c r="M19" i="1"/>
  <c r="M53" i="1"/>
  <c r="M54" i="1"/>
  <c r="M48" i="1"/>
  <c r="M64" i="1"/>
  <c r="M88" i="1"/>
  <c r="M81" i="1"/>
  <c r="M73" i="1"/>
  <c r="M83" i="1"/>
  <c r="M105" i="1"/>
  <c r="M98" i="1"/>
  <c r="M111" i="1"/>
  <c r="M102" i="1"/>
  <c r="M115" i="1"/>
  <c r="M23" i="1"/>
  <c r="M49" i="1"/>
  <c r="M47" i="1"/>
  <c r="M14" i="1"/>
  <c r="M120" i="1"/>
  <c r="M62" i="1"/>
  <c r="M85" i="1"/>
  <c r="M46" i="1"/>
  <c r="M11" i="1"/>
  <c r="M76" i="1"/>
  <c r="M77" i="1"/>
  <c r="M41" i="1"/>
  <c r="M20" i="1"/>
  <c r="M55" i="1"/>
  <c r="M87" i="1"/>
  <c r="M69" i="1"/>
  <c r="M112" i="1"/>
  <c r="M100" i="1"/>
  <c r="M92" i="1"/>
  <c r="M45" i="1"/>
  <c r="M31" i="1"/>
  <c r="M35" i="1"/>
  <c r="M29" i="1"/>
  <c r="M38" i="1"/>
  <c r="M40" i="1"/>
  <c r="M42" i="1"/>
  <c r="M30" i="1"/>
  <c r="M34" i="1"/>
  <c r="M36" i="1"/>
  <c r="M43" i="1"/>
  <c r="M17" i="1"/>
  <c r="M25" i="1"/>
  <c r="M56" i="1"/>
  <c r="M72" i="1"/>
  <c r="M67" i="1"/>
  <c r="M79" i="1"/>
  <c r="M86" i="1"/>
  <c r="M119" i="1"/>
  <c r="M95" i="1"/>
  <c r="M113" i="1"/>
  <c r="M99" i="1"/>
  <c r="M116" i="1"/>
  <c r="M21" i="1"/>
  <c r="M26" i="1"/>
  <c r="M107" i="1"/>
  <c r="M78" i="1"/>
  <c r="M18" i="1"/>
  <c r="M110" i="1"/>
  <c r="M10" i="1"/>
  <c r="M24" i="1"/>
  <c r="M65" i="1"/>
  <c r="N13" i="1"/>
  <c r="N55" i="1"/>
  <c r="N88" i="1"/>
  <c r="N81" i="1"/>
  <c r="N90" i="1"/>
  <c r="N47" i="1"/>
  <c r="N33" i="1"/>
  <c r="N44" i="1"/>
  <c r="N23" i="1"/>
  <c r="N85" i="1"/>
  <c r="N40" i="1"/>
  <c r="N104" i="1"/>
  <c r="N97" i="1"/>
  <c r="N49" i="1"/>
  <c r="N96" i="1"/>
  <c r="N50" i="1"/>
  <c r="N62" i="1"/>
  <c r="N91" i="1"/>
  <c r="N35" i="1"/>
  <c r="N64" i="1"/>
  <c r="N53" i="1"/>
  <c r="N22" i="1"/>
  <c r="N12" i="1"/>
  <c r="N51" i="1"/>
  <c r="N105" i="1"/>
  <c r="N66" i="1"/>
  <c r="N73" i="1"/>
  <c r="N76" i="1"/>
  <c r="N28" i="1"/>
  <c r="N58" i="1"/>
  <c r="N103" i="1"/>
  <c r="N61" i="1"/>
  <c r="N115" i="1"/>
  <c r="N57" i="1"/>
  <c r="N19" i="1"/>
  <c r="N78" i="1"/>
  <c r="N119" i="1"/>
  <c r="N87" i="1"/>
  <c r="N74" i="1"/>
  <c r="N72" i="1"/>
  <c r="N45" i="1"/>
  <c r="N92" i="1"/>
  <c r="N100" i="1"/>
  <c r="N86" i="1"/>
  <c r="N24" i="1"/>
  <c r="N84" i="1"/>
  <c r="N34" i="1"/>
  <c r="N65" i="1"/>
  <c r="N110" i="1"/>
  <c r="N117" i="1"/>
  <c r="N70" i="1"/>
  <c r="N109" i="1"/>
  <c r="N120" i="1"/>
  <c r="N60" i="1"/>
  <c r="N31" i="1"/>
  <c r="N18" i="1"/>
  <c r="N99" i="1"/>
  <c r="N38" i="1"/>
  <c r="N42" i="1"/>
  <c r="N46" i="1"/>
  <c r="N114" i="1"/>
  <c r="N118" i="1"/>
  <c r="N11" i="1"/>
  <c r="O12" i="1" s="1"/>
  <c r="N15" i="1"/>
  <c r="N83" i="1"/>
  <c r="N37" i="1"/>
  <c r="N17" i="1"/>
  <c r="N43" i="1"/>
  <c r="N30" i="1"/>
  <c r="N111" i="1"/>
  <c r="N98" i="1"/>
  <c r="N108" i="1"/>
  <c r="N106" i="1"/>
  <c r="N63" i="1"/>
  <c r="N36" i="1"/>
  <c r="N68" i="1"/>
  <c r="N79" i="1"/>
  <c r="N41" i="1"/>
  <c r="N10" i="1"/>
  <c r="N25" i="1"/>
  <c r="N56" i="1"/>
  <c r="N116" i="1"/>
  <c r="N20" i="1"/>
  <c r="N112" i="1"/>
  <c r="N80" i="1"/>
  <c r="N27" i="1"/>
  <c r="N14" i="1"/>
  <c r="N95" i="1"/>
  <c r="N82" i="1"/>
  <c r="N93" i="1"/>
  <c r="N77" i="1"/>
  <c r="N89" i="1"/>
  <c r="N101" i="1"/>
  <c r="N67" i="1"/>
  <c r="N71" i="1"/>
  <c r="N21" i="1"/>
  <c r="N29" i="1"/>
  <c r="N52" i="1"/>
  <c r="N39" i="1"/>
  <c r="N26" i="1"/>
  <c r="N107" i="1"/>
  <c r="N94" i="1"/>
  <c r="N16" i="1"/>
  <c r="N69" i="1"/>
  <c r="N102" i="1"/>
  <c r="N59" i="1"/>
  <c r="N32" i="1"/>
  <c r="N54" i="1"/>
  <c r="N75" i="1"/>
  <c r="N48" i="1"/>
  <c r="N113" i="1"/>
  <c r="M9" i="1"/>
  <c r="U9" i="1"/>
  <c r="X9" i="1"/>
  <c r="O38" i="1" l="1"/>
  <c r="X10" i="1"/>
  <c r="U10" i="1"/>
  <c r="O117" i="1"/>
  <c r="O49" i="1"/>
  <c r="O83" i="1"/>
  <c r="O109" i="1"/>
  <c r="O33" i="1"/>
  <c r="O40" i="1"/>
  <c r="O35" i="1"/>
  <c r="O17" i="1"/>
  <c r="O60" i="1"/>
  <c r="O58" i="1"/>
  <c r="O30" i="1"/>
  <c r="O115" i="1"/>
  <c r="O85" i="1"/>
  <c r="O44" i="1"/>
  <c r="O53" i="1"/>
  <c r="O72" i="1"/>
  <c r="O78" i="1"/>
  <c r="O15" i="1"/>
  <c r="O21" i="1"/>
  <c r="O18" i="1"/>
  <c r="O43" i="1"/>
  <c r="O104" i="1"/>
  <c r="O95" i="1"/>
  <c r="O68" i="1"/>
  <c r="O64" i="1"/>
  <c r="O61" i="1"/>
  <c r="O76" i="1"/>
  <c r="O108" i="1"/>
  <c r="O81" i="1"/>
  <c r="O90" i="1"/>
  <c r="O110" i="1"/>
  <c r="O62" i="1"/>
  <c r="O114" i="1"/>
  <c r="O99" i="1"/>
  <c r="O13" i="1"/>
  <c r="O97" i="1"/>
  <c r="O28" i="1"/>
  <c r="O119" i="1"/>
  <c r="O23" i="1"/>
  <c r="O57" i="1"/>
  <c r="O84" i="1"/>
  <c r="O55" i="1"/>
  <c r="O27" i="1"/>
  <c r="O22" i="1"/>
  <c r="O47" i="1"/>
  <c r="O66" i="1"/>
  <c r="O87" i="1"/>
  <c r="O37" i="1"/>
  <c r="O101" i="1"/>
  <c r="O75" i="1"/>
  <c r="O41" i="1"/>
  <c r="O89" i="1"/>
  <c r="O10" i="1"/>
  <c r="O11" i="1"/>
  <c r="O71" i="1"/>
  <c r="O70" i="1"/>
  <c r="O96" i="1"/>
  <c r="O113" i="1"/>
  <c r="O26" i="1"/>
  <c r="O69" i="1"/>
  <c r="O16" i="1"/>
  <c r="O19" i="1"/>
  <c r="O73" i="1"/>
  <c r="O79" i="1"/>
  <c r="O77" i="1"/>
  <c r="O52" i="1"/>
  <c r="O65" i="1"/>
  <c r="O51" i="1"/>
  <c r="O105" i="1"/>
  <c r="O45" i="1"/>
  <c r="O82" i="1"/>
  <c r="O94" i="1"/>
  <c r="O42" i="1"/>
  <c r="O112" i="1"/>
  <c r="O39" i="1"/>
  <c r="O118" i="1"/>
  <c r="O93" i="1"/>
  <c r="O88" i="1"/>
  <c r="O59" i="1"/>
  <c r="O67" i="1"/>
  <c r="O92" i="1"/>
  <c r="O50" i="1"/>
  <c r="O86" i="1"/>
  <c r="O48" i="1"/>
  <c r="O56" i="1"/>
  <c r="O32" i="1"/>
  <c r="O20" i="1"/>
  <c r="O74" i="1"/>
  <c r="O36" i="1"/>
  <c r="O34" i="1"/>
  <c r="O103" i="1"/>
  <c r="O102" i="1"/>
  <c r="O80" i="1"/>
  <c r="O107" i="1"/>
  <c r="O31" i="1"/>
  <c r="O100" i="1"/>
  <c r="O111" i="1"/>
  <c r="O25" i="1"/>
  <c r="O46" i="1"/>
  <c r="O120" i="1"/>
  <c r="O116" i="1"/>
  <c r="O29" i="1"/>
  <c r="O106" i="1"/>
  <c r="O54" i="1"/>
  <c r="O63" i="1"/>
  <c r="O98" i="1"/>
  <c r="O24" i="1"/>
  <c r="O91" i="1"/>
  <c r="O14" i="1"/>
  <c r="X11" i="1" l="1"/>
  <c r="U11" i="1"/>
  <c r="P10" i="1"/>
  <c r="P34" i="1"/>
  <c r="P103" i="1"/>
  <c r="P63" i="1"/>
  <c r="P88" i="1"/>
  <c r="P108" i="1"/>
  <c r="P58" i="1"/>
  <c r="P57" i="1"/>
  <c r="P90" i="1"/>
  <c r="P40" i="1"/>
  <c r="P73" i="1"/>
  <c r="P23" i="1"/>
  <c r="P33" i="1"/>
  <c r="P20" i="1"/>
  <c r="P71" i="1"/>
  <c r="P68" i="1"/>
  <c r="P109" i="1"/>
  <c r="P60" i="1"/>
  <c r="P13" i="1"/>
  <c r="P52" i="1"/>
  <c r="P21" i="1"/>
  <c r="P31" i="1"/>
  <c r="P32" i="1"/>
  <c r="P48" i="1"/>
  <c r="P82" i="1"/>
  <c r="P95" i="1"/>
  <c r="P26" i="1"/>
  <c r="P85" i="1"/>
  <c r="P59" i="1"/>
  <c r="P17" i="1"/>
  <c r="P102" i="1"/>
  <c r="P29" i="1"/>
  <c r="P83" i="1"/>
  <c r="P91" i="1"/>
  <c r="P77" i="1"/>
  <c r="P79" i="1"/>
  <c r="P117" i="1"/>
  <c r="P54" i="1"/>
  <c r="P119" i="1"/>
  <c r="P49" i="1"/>
  <c r="P39" i="1"/>
  <c r="P19" i="1"/>
  <c r="P89" i="1"/>
  <c r="P105" i="1"/>
  <c r="P100" i="1"/>
  <c r="P120" i="1"/>
  <c r="P65" i="1"/>
  <c r="P72" i="1"/>
  <c r="P74" i="1"/>
  <c r="P38" i="1"/>
  <c r="P41" i="1"/>
  <c r="P56" i="1"/>
  <c r="P69" i="1"/>
  <c r="P113" i="1"/>
  <c r="P61" i="1"/>
  <c r="P110" i="1"/>
  <c r="P51" i="1"/>
  <c r="P47" i="1"/>
  <c r="P22" i="1"/>
  <c r="P114" i="1"/>
  <c r="P75" i="1"/>
  <c r="P36" i="1"/>
  <c r="P98" i="1"/>
  <c r="P76" i="1"/>
  <c r="P64" i="1"/>
  <c r="P96" i="1"/>
  <c r="P42" i="1"/>
  <c r="P37" i="1"/>
  <c r="P50" i="1"/>
  <c r="P66" i="1"/>
  <c r="P97" i="1"/>
  <c r="P15" i="1"/>
  <c r="P62" i="1"/>
  <c r="P30" i="1"/>
  <c r="P86" i="1"/>
  <c r="P101" i="1"/>
  <c r="P45" i="1"/>
  <c r="P27" i="1"/>
  <c r="P87" i="1"/>
  <c r="P84" i="1"/>
  <c r="P99" i="1"/>
  <c r="P14" i="1"/>
  <c r="P92" i="1"/>
  <c r="P67" i="1"/>
  <c r="P18" i="1"/>
  <c r="P25" i="1"/>
  <c r="P93" i="1"/>
  <c r="P106" i="1"/>
  <c r="P16" i="1"/>
  <c r="P115" i="1"/>
  <c r="P35" i="1"/>
  <c r="P81" i="1"/>
  <c r="P118" i="1"/>
  <c r="P28" i="1"/>
  <c r="P12" i="1"/>
  <c r="P55" i="1"/>
  <c r="P80" i="1"/>
  <c r="P112" i="1"/>
  <c r="P107" i="1"/>
  <c r="P46" i="1"/>
  <c r="P43" i="1"/>
  <c r="P111" i="1"/>
  <c r="P94" i="1"/>
  <c r="P44" i="1"/>
  <c r="P53" i="1"/>
  <c r="P70" i="1"/>
  <c r="P104" i="1"/>
  <c r="P116" i="1"/>
  <c r="P78" i="1"/>
  <c r="P24" i="1"/>
  <c r="P11" i="1"/>
  <c r="P9" i="1"/>
  <c r="X12" i="1" l="1"/>
  <c r="U12" i="1"/>
  <c r="I9" i="1"/>
  <c r="AF9" i="1" s="1"/>
  <c r="H78" i="1"/>
  <c r="AH78" i="1" s="1"/>
  <c r="I78" i="1"/>
  <c r="AF78" i="1" s="1"/>
  <c r="H80" i="1"/>
  <c r="AH80" i="1" s="1"/>
  <c r="I80" i="1"/>
  <c r="AF80" i="1" s="1"/>
  <c r="H18" i="1"/>
  <c r="AH18" i="1" s="1"/>
  <c r="I18" i="1"/>
  <c r="AF18" i="1" s="1"/>
  <c r="H64" i="1"/>
  <c r="AH64" i="1" s="1"/>
  <c r="I64" i="1"/>
  <c r="AF64" i="1" s="1"/>
  <c r="H69" i="1"/>
  <c r="AH69" i="1" s="1"/>
  <c r="I69" i="1"/>
  <c r="AF69" i="1" s="1"/>
  <c r="H39" i="1"/>
  <c r="AH39" i="1" s="1"/>
  <c r="I39" i="1"/>
  <c r="AF39" i="1" s="1"/>
  <c r="H21" i="1"/>
  <c r="AH21" i="1" s="1"/>
  <c r="I21" i="1"/>
  <c r="AF21" i="1" s="1"/>
  <c r="H56" i="1"/>
  <c r="AH56" i="1" s="1"/>
  <c r="I56" i="1"/>
  <c r="AF56" i="1" s="1"/>
  <c r="H72" i="1"/>
  <c r="AH72" i="1" s="1"/>
  <c r="I72" i="1"/>
  <c r="AF72" i="1" s="1"/>
  <c r="H105" i="1"/>
  <c r="AH105" i="1" s="1"/>
  <c r="I105" i="1"/>
  <c r="AF105" i="1" s="1"/>
  <c r="H49" i="1"/>
  <c r="AH49" i="1" s="1"/>
  <c r="I49" i="1"/>
  <c r="AF49" i="1" s="1"/>
  <c r="H79" i="1"/>
  <c r="AH79" i="1" s="1"/>
  <c r="I79" i="1"/>
  <c r="AF79" i="1" s="1"/>
  <c r="H29" i="1"/>
  <c r="AH29" i="1" s="1"/>
  <c r="I29" i="1"/>
  <c r="AF29" i="1" s="1"/>
  <c r="H85" i="1"/>
  <c r="AH85" i="1" s="1"/>
  <c r="I85" i="1"/>
  <c r="AF85" i="1" s="1"/>
  <c r="H48" i="1"/>
  <c r="AH48" i="1" s="1"/>
  <c r="I48" i="1"/>
  <c r="AF48" i="1" s="1"/>
  <c r="H52" i="1"/>
  <c r="AH52" i="1" s="1"/>
  <c r="I52" i="1"/>
  <c r="AF52" i="1" s="1"/>
  <c r="H68" i="1"/>
  <c r="AH68" i="1" s="1"/>
  <c r="I68" i="1"/>
  <c r="AF68" i="1" s="1"/>
  <c r="H23" i="1"/>
  <c r="AH23" i="1" s="1"/>
  <c r="I23" i="1"/>
  <c r="AF23" i="1" s="1"/>
  <c r="H57" i="1"/>
  <c r="AH57" i="1" s="1"/>
  <c r="I57" i="1"/>
  <c r="AF57" i="1" s="1"/>
  <c r="H63" i="1"/>
  <c r="AH63" i="1" s="1"/>
  <c r="I63" i="1"/>
  <c r="AF63" i="1" s="1"/>
  <c r="H43" i="1"/>
  <c r="AH43" i="1" s="1"/>
  <c r="I43" i="1"/>
  <c r="AF43" i="1" s="1"/>
  <c r="H16" i="1"/>
  <c r="AH16" i="1" s="1"/>
  <c r="I16" i="1"/>
  <c r="AF16" i="1" s="1"/>
  <c r="H99" i="1"/>
  <c r="AH99" i="1" s="1"/>
  <c r="I99" i="1"/>
  <c r="AF99" i="1" s="1"/>
  <c r="H62" i="1"/>
  <c r="AH62" i="1" s="1"/>
  <c r="I62" i="1"/>
  <c r="AF62" i="1" s="1"/>
  <c r="H75" i="1"/>
  <c r="AH75" i="1" s="1"/>
  <c r="I75" i="1"/>
  <c r="AF75" i="1" s="1"/>
  <c r="H74" i="1"/>
  <c r="AH74" i="1" s="1"/>
  <c r="I74" i="1"/>
  <c r="AF74" i="1" s="1"/>
  <c r="H117" i="1"/>
  <c r="AH117" i="1" s="1"/>
  <c r="I117" i="1"/>
  <c r="AF117" i="1" s="1"/>
  <c r="H59" i="1"/>
  <c r="AH59" i="1" s="1"/>
  <c r="I59" i="1"/>
  <c r="AF59" i="1" s="1"/>
  <c r="H109" i="1"/>
  <c r="AH109" i="1" s="1"/>
  <c r="I109" i="1"/>
  <c r="AF109" i="1" s="1"/>
  <c r="H90" i="1"/>
  <c r="AH90" i="1" s="1"/>
  <c r="I90" i="1"/>
  <c r="AF90" i="1" s="1"/>
  <c r="H10" i="1"/>
  <c r="AH10" i="1" s="1"/>
  <c r="I10" i="1"/>
  <c r="AF10" i="1" s="1"/>
  <c r="H44" i="1"/>
  <c r="AH44" i="1" s="1"/>
  <c r="I44" i="1"/>
  <c r="AF44" i="1" s="1"/>
  <c r="H55" i="1"/>
  <c r="AH55" i="1" s="1"/>
  <c r="I55" i="1"/>
  <c r="AF55" i="1" s="1"/>
  <c r="H106" i="1"/>
  <c r="AH106" i="1" s="1"/>
  <c r="I106" i="1"/>
  <c r="AF106" i="1" s="1"/>
  <c r="H84" i="1"/>
  <c r="AH84" i="1" s="1"/>
  <c r="I84" i="1"/>
  <c r="AF84" i="1" s="1"/>
  <c r="H15" i="1"/>
  <c r="AH15" i="1" s="1"/>
  <c r="I15" i="1"/>
  <c r="AF15" i="1" s="1"/>
  <c r="H76" i="1"/>
  <c r="AH76" i="1" s="1"/>
  <c r="I76" i="1"/>
  <c r="AF76" i="1" s="1"/>
  <c r="H110" i="1"/>
  <c r="AH110" i="1" s="1"/>
  <c r="I110" i="1"/>
  <c r="AF110" i="1" s="1"/>
  <c r="H11" i="1"/>
  <c r="AH11" i="1" s="1"/>
  <c r="I11" i="1"/>
  <c r="AF11" i="1" s="1"/>
  <c r="H104" i="1"/>
  <c r="AH104" i="1" s="1"/>
  <c r="I104" i="1"/>
  <c r="AF104" i="1" s="1"/>
  <c r="H94" i="1"/>
  <c r="AH94" i="1" s="1"/>
  <c r="I94" i="1"/>
  <c r="AF94" i="1" s="1"/>
  <c r="H107" i="1"/>
  <c r="AH107" i="1" s="1"/>
  <c r="I107" i="1"/>
  <c r="AF107" i="1" s="1"/>
  <c r="H12" i="1"/>
  <c r="AH12" i="1" s="1"/>
  <c r="I12" i="1"/>
  <c r="AF12" i="1" s="1"/>
  <c r="H35" i="1"/>
  <c r="AH35" i="1" s="1"/>
  <c r="I35" i="1"/>
  <c r="AF35" i="1" s="1"/>
  <c r="H93" i="1"/>
  <c r="AH93" i="1" s="1"/>
  <c r="I93" i="1"/>
  <c r="AF93" i="1" s="1"/>
  <c r="H92" i="1"/>
  <c r="AH92" i="1" s="1"/>
  <c r="I92" i="1"/>
  <c r="AF92" i="1" s="1"/>
  <c r="H87" i="1"/>
  <c r="AH87" i="1" s="1"/>
  <c r="I87" i="1"/>
  <c r="AF87" i="1" s="1"/>
  <c r="H86" i="1"/>
  <c r="AH86" i="1" s="1"/>
  <c r="I86" i="1"/>
  <c r="AF86" i="1" s="1"/>
  <c r="H97" i="1"/>
  <c r="AH97" i="1" s="1"/>
  <c r="I97" i="1"/>
  <c r="AF97" i="1" s="1"/>
  <c r="H42" i="1"/>
  <c r="AH42" i="1" s="1"/>
  <c r="I42" i="1"/>
  <c r="AF42" i="1" s="1"/>
  <c r="H98" i="1"/>
  <c r="AH98" i="1" s="1"/>
  <c r="I98" i="1"/>
  <c r="AF98" i="1" s="1"/>
  <c r="H22" i="1"/>
  <c r="AH22" i="1" s="1"/>
  <c r="I22" i="1"/>
  <c r="AF22" i="1" s="1"/>
  <c r="H61" i="1"/>
  <c r="AH61" i="1" s="1"/>
  <c r="I61" i="1"/>
  <c r="AF61" i="1" s="1"/>
  <c r="H41" i="1"/>
  <c r="AH41" i="1" s="1"/>
  <c r="I41" i="1"/>
  <c r="AF41" i="1" s="1"/>
  <c r="H65" i="1"/>
  <c r="AH65" i="1" s="1"/>
  <c r="I65" i="1"/>
  <c r="AF65" i="1" s="1"/>
  <c r="H89" i="1"/>
  <c r="AH89" i="1" s="1"/>
  <c r="I89" i="1"/>
  <c r="AF89" i="1" s="1"/>
  <c r="H119" i="1"/>
  <c r="AH119" i="1" s="1"/>
  <c r="I119" i="1"/>
  <c r="AF119" i="1" s="1"/>
  <c r="H77" i="1"/>
  <c r="AH77" i="1" s="1"/>
  <c r="I77" i="1"/>
  <c r="AF77" i="1" s="1"/>
  <c r="H102" i="1"/>
  <c r="AH102" i="1" s="1"/>
  <c r="I102" i="1"/>
  <c r="AF102" i="1" s="1"/>
  <c r="H26" i="1"/>
  <c r="AH26" i="1" s="1"/>
  <c r="I26" i="1"/>
  <c r="AF26" i="1" s="1"/>
  <c r="H32" i="1"/>
  <c r="AH32" i="1" s="1"/>
  <c r="I32" i="1"/>
  <c r="AF32" i="1" s="1"/>
  <c r="H13" i="1"/>
  <c r="AH13" i="1" s="1"/>
  <c r="I13" i="1"/>
  <c r="AF13" i="1" s="1"/>
  <c r="H71" i="1"/>
  <c r="AH71" i="1" s="1"/>
  <c r="I71" i="1"/>
  <c r="AF71" i="1" s="1"/>
  <c r="H73" i="1"/>
  <c r="AH73" i="1" s="1"/>
  <c r="I73" i="1"/>
  <c r="AF73" i="1" s="1"/>
  <c r="H58" i="1"/>
  <c r="AH58" i="1" s="1"/>
  <c r="I58" i="1"/>
  <c r="AF58" i="1" s="1"/>
  <c r="H103" i="1"/>
  <c r="AH103" i="1" s="1"/>
  <c r="I103" i="1"/>
  <c r="AF103" i="1" s="1"/>
  <c r="H53" i="1"/>
  <c r="AH53" i="1" s="1"/>
  <c r="I53" i="1"/>
  <c r="AF53" i="1" s="1"/>
  <c r="H118" i="1"/>
  <c r="AH118" i="1" s="1"/>
  <c r="I118" i="1"/>
  <c r="AF118" i="1" s="1"/>
  <c r="H45" i="1"/>
  <c r="AH45" i="1" s="1"/>
  <c r="I45" i="1"/>
  <c r="AF45" i="1" s="1"/>
  <c r="H50" i="1"/>
  <c r="AH50" i="1" s="1"/>
  <c r="I50" i="1"/>
  <c r="AF50" i="1" s="1"/>
  <c r="H51" i="1"/>
  <c r="AH51" i="1" s="1"/>
  <c r="I51" i="1"/>
  <c r="AF51" i="1" s="1"/>
  <c r="H100" i="1"/>
  <c r="AH100" i="1" s="1"/>
  <c r="I100" i="1"/>
  <c r="AF100" i="1" s="1"/>
  <c r="H83" i="1"/>
  <c r="AH83" i="1" s="1"/>
  <c r="I83" i="1"/>
  <c r="AF83" i="1" s="1"/>
  <c r="H82" i="1"/>
  <c r="AH82" i="1" s="1"/>
  <c r="I82" i="1"/>
  <c r="AF82" i="1" s="1"/>
  <c r="H33" i="1"/>
  <c r="AH33" i="1" s="1"/>
  <c r="I33" i="1"/>
  <c r="AF33" i="1" s="1"/>
  <c r="H88" i="1"/>
  <c r="AH88" i="1" s="1"/>
  <c r="I88" i="1"/>
  <c r="AF88" i="1" s="1"/>
  <c r="H116" i="1"/>
  <c r="AH116" i="1" s="1"/>
  <c r="I116" i="1"/>
  <c r="AF116" i="1" s="1"/>
  <c r="H46" i="1"/>
  <c r="AH46" i="1" s="1"/>
  <c r="I46" i="1"/>
  <c r="AF46" i="1" s="1"/>
  <c r="H81" i="1"/>
  <c r="AH81" i="1" s="1"/>
  <c r="I81" i="1"/>
  <c r="AF81" i="1" s="1"/>
  <c r="H67" i="1"/>
  <c r="AH67" i="1" s="1"/>
  <c r="I67" i="1"/>
  <c r="AF67" i="1" s="1"/>
  <c r="H101" i="1"/>
  <c r="AH101" i="1" s="1"/>
  <c r="I101" i="1"/>
  <c r="AF101" i="1" s="1"/>
  <c r="H37" i="1"/>
  <c r="AH37" i="1" s="1"/>
  <c r="I37" i="1"/>
  <c r="AF37" i="1" s="1"/>
  <c r="H114" i="1"/>
  <c r="AH114" i="1" s="1"/>
  <c r="I114" i="1"/>
  <c r="AF114" i="1" s="1"/>
  <c r="H24" i="1"/>
  <c r="AH24" i="1" s="1"/>
  <c r="I24" i="1"/>
  <c r="AF24" i="1" s="1"/>
  <c r="H70" i="1"/>
  <c r="AH70" i="1" s="1"/>
  <c r="I70" i="1"/>
  <c r="AF70" i="1" s="1"/>
  <c r="H111" i="1"/>
  <c r="AH111" i="1" s="1"/>
  <c r="I111" i="1"/>
  <c r="AF111" i="1" s="1"/>
  <c r="H112" i="1"/>
  <c r="AH112" i="1" s="1"/>
  <c r="I112" i="1"/>
  <c r="AF112" i="1" s="1"/>
  <c r="H28" i="1"/>
  <c r="AH28" i="1" s="1"/>
  <c r="I28" i="1"/>
  <c r="AF28" i="1" s="1"/>
  <c r="H115" i="1"/>
  <c r="AH115" i="1" s="1"/>
  <c r="I115" i="1"/>
  <c r="AF115" i="1" s="1"/>
  <c r="H25" i="1"/>
  <c r="AH25" i="1" s="1"/>
  <c r="I25" i="1"/>
  <c r="AF25" i="1" s="1"/>
  <c r="H14" i="1"/>
  <c r="AH14" i="1" s="1"/>
  <c r="I14" i="1"/>
  <c r="AF14" i="1" s="1"/>
  <c r="H27" i="1"/>
  <c r="AH27" i="1" s="1"/>
  <c r="I27" i="1"/>
  <c r="AF27" i="1" s="1"/>
  <c r="H30" i="1"/>
  <c r="AH30" i="1" s="1"/>
  <c r="I30" i="1"/>
  <c r="AF30" i="1" s="1"/>
  <c r="H66" i="1"/>
  <c r="AH66" i="1" s="1"/>
  <c r="I66" i="1"/>
  <c r="AF66" i="1" s="1"/>
  <c r="H96" i="1"/>
  <c r="AH96" i="1" s="1"/>
  <c r="I96" i="1"/>
  <c r="AF96" i="1" s="1"/>
  <c r="H36" i="1"/>
  <c r="AH36" i="1" s="1"/>
  <c r="I36" i="1"/>
  <c r="AF36" i="1" s="1"/>
  <c r="H47" i="1"/>
  <c r="AH47" i="1" s="1"/>
  <c r="I47" i="1"/>
  <c r="AF47" i="1" s="1"/>
  <c r="H113" i="1"/>
  <c r="AH113" i="1" s="1"/>
  <c r="I113" i="1"/>
  <c r="AF113" i="1" s="1"/>
  <c r="H38" i="1"/>
  <c r="AH38" i="1" s="1"/>
  <c r="I38" i="1"/>
  <c r="AF38" i="1" s="1"/>
  <c r="H120" i="1"/>
  <c r="I120" i="1"/>
  <c r="H19" i="1"/>
  <c r="AH19" i="1" s="1"/>
  <c r="I19" i="1"/>
  <c r="AF19" i="1" s="1"/>
  <c r="H54" i="1"/>
  <c r="AH54" i="1" s="1"/>
  <c r="I54" i="1"/>
  <c r="AF54" i="1" s="1"/>
  <c r="H91" i="1"/>
  <c r="AH91" i="1" s="1"/>
  <c r="I91" i="1"/>
  <c r="AF91" i="1" s="1"/>
  <c r="H17" i="1"/>
  <c r="AH17" i="1" s="1"/>
  <c r="I17" i="1"/>
  <c r="AF17" i="1" s="1"/>
  <c r="H95" i="1"/>
  <c r="AH95" i="1" s="1"/>
  <c r="I95" i="1"/>
  <c r="AF95" i="1" s="1"/>
  <c r="H31" i="1"/>
  <c r="AH31" i="1" s="1"/>
  <c r="I31" i="1"/>
  <c r="AF31" i="1" s="1"/>
  <c r="H60" i="1"/>
  <c r="AH60" i="1" s="1"/>
  <c r="I60" i="1"/>
  <c r="AF60" i="1" s="1"/>
  <c r="H20" i="1"/>
  <c r="AH20" i="1" s="1"/>
  <c r="I20" i="1"/>
  <c r="AF20" i="1" s="1"/>
  <c r="H40" i="1"/>
  <c r="AH40" i="1" s="1"/>
  <c r="I40" i="1"/>
  <c r="AF40" i="1" s="1"/>
  <c r="H108" i="1"/>
  <c r="AH108" i="1" s="1"/>
  <c r="I108" i="1"/>
  <c r="AF108" i="1" s="1"/>
  <c r="H34" i="1"/>
  <c r="AH34" i="1" s="1"/>
  <c r="I34" i="1"/>
  <c r="AF34" i="1" s="1"/>
  <c r="Q6" i="1"/>
  <c r="H9" i="1"/>
  <c r="AH9" i="1" s="1"/>
  <c r="AF120" i="1" l="1"/>
  <c r="AG120" i="1" s="1"/>
  <c r="AH120" i="1"/>
  <c r="AI120" i="1" s="1"/>
  <c r="X13" i="1"/>
  <c r="U13" i="1"/>
  <c r="AI21" i="1"/>
  <c r="CG6" i="1"/>
  <c r="BE2" i="1"/>
  <c r="Q85" i="1"/>
  <c r="R108" i="1"/>
  <c r="AG108" i="1"/>
  <c r="R113" i="1"/>
  <c r="AG113" i="1"/>
  <c r="R111" i="1"/>
  <c r="AG111" i="1"/>
  <c r="AG103" i="1"/>
  <c r="R107" i="1"/>
  <c r="AG107" i="1"/>
  <c r="R110" i="1"/>
  <c r="AG110" i="1"/>
  <c r="AG106" i="1"/>
  <c r="AG100" i="1"/>
  <c r="R118" i="1"/>
  <c r="AG118" i="1"/>
  <c r="AG104" i="1"/>
  <c r="AG105" i="1"/>
  <c r="AG95" i="1"/>
  <c r="AG96" i="1"/>
  <c r="R115" i="1"/>
  <c r="AG115" i="1"/>
  <c r="R112" i="1"/>
  <c r="AI112" i="1"/>
  <c r="AG112" i="1"/>
  <c r="R114" i="1"/>
  <c r="AG114" i="1"/>
  <c r="AI114" i="1"/>
  <c r="AG101" i="1"/>
  <c r="R116" i="1"/>
  <c r="AG116" i="1"/>
  <c r="AG102" i="1"/>
  <c r="R119" i="1"/>
  <c r="AG119" i="1"/>
  <c r="AG98" i="1"/>
  <c r="AG97" i="1"/>
  <c r="AG93" i="1"/>
  <c r="AG94" i="1"/>
  <c r="R109" i="1"/>
  <c r="AG109" i="1"/>
  <c r="AI109" i="1"/>
  <c r="R117" i="1"/>
  <c r="AG117" i="1"/>
  <c r="AI117" i="1"/>
  <c r="AG99" i="1"/>
  <c r="R66" i="1"/>
  <c r="AG66" i="1"/>
  <c r="AG67" i="1"/>
  <c r="AG88" i="1"/>
  <c r="AG82" i="1"/>
  <c r="R73" i="1"/>
  <c r="AG73" i="1"/>
  <c r="AG77" i="1"/>
  <c r="AG89" i="1"/>
  <c r="AG86" i="1"/>
  <c r="AG92" i="1"/>
  <c r="AG90" i="1"/>
  <c r="AG74" i="1"/>
  <c r="AG85" i="1"/>
  <c r="AI85" i="1"/>
  <c r="AG79" i="1"/>
  <c r="AG80" i="1"/>
  <c r="AG91" i="1"/>
  <c r="AI91" i="1"/>
  <c r="AG70" i="1"/>
  <c r="AI81" i="1"/>
  <c r="AG81" i="1"/>
  <c r="AI83" i="1"/>
  <c r="AG83" i="1"/>
  <c r="R71" i="1"/>
  <c r="AG71" i="1"/>
  <c r="R65" i="1"/>
  <c r="AG65" i="1"/>
  <c r="AI87" i="1"/>
  <c r="AG87" i="1"/>
  <c r="AI76" i="1"/>
  <c r="AG76" i="1"/>
  <c r="AG84" i="1"/>
  <c r="AG75" i="1"/>
  <c r="AI68" i="1"/>
  <c r="AG68" i="1"/>
  <c r="R72" i="1"/>
  <c r="AG72" i="1"/>
  <c r="AG69" i="1"/>
  <c r="AG78" i="1"/>
  <c r="AG37" i="1"/>
  <c r="AG41" i="1"/>
  <c r="AG63" i="1"/>
  <c r="AG52" i="1"/>
  <c r="AG56" i="1"/>
  <c r="AG54" i="1"/>
  <c r="AG46" i="1"/>
  <c r="AG42" i="1"/>
  <c r="R62" i="1"/>
  <c r="AG62" i="1"/>
  <c r="AG39" i="1"/>
  <c r="AG40" i="1"/>
  <c r="R60" i="1"/>
  <c r="AG60" i="1"/>
  <c r="AG38" i="1"/>
  <c r="AG47" i="1"/>
  <c r="AG51" i="1"/>
  <c r="AG45" i="1"/>
  <c r="AG53" i="1"/>
  <c r="AG58" i="1"/>
  <c r="AG61" i="1"/>
  <c r="AG55" i="1"/>
  <c r="AG43" i="1"/>
  <c r="AG57" i="1"/>
  <c r="AG48" i="1"/>
  <c r="AG49" i="1"/>
  <c r="AG50" i="1"/>
  <c r="AG44" i="1"/>
  <c r="R59" i="1"/>
  <c r="AI59" i="1"/>
  <c r="AG59" i="1"/>
  <c r="R64" i="1"/>
  <c r="AG64" i="1"/>
  <c r="AG36" i="1"/>
  <c r="AG34" i="1"/>
  <c r="AG32" i="1"/>
  <c r="AI32" i="1"/>
  <c r="AI27" i="1"/>
  <c r="AG35" i="1"/>
  <c r="CI38" i="1" l="1"/>
  <c r="CJ38" i="1"/>
  <c r="CH38" i="1"/>
  <c r="CH115" i="1"/>
  <c r="CI115" i="1"/>
  <c r="CI88" i="1"/>
  <c r="CH88" i="1"/>
  <c r="CI61" i="1"/>
  <c r="CH61" i="1"/>
  <c r="CH33" i="1"/>
  <c r="CI33" i="1"/>
  <c r="X14" i="1"/>
  <c r="U14" i="1"/>
  <c r="CI22" i="1"/>
  <c r="CH22" i="1"/>
  <c r="CH21" i="1"/>
  <c r="CI21" i="1"/>
  <c r="CI20" i="1"/>
  <c r="CH20" i="1"/>
  <c r="CI19" i="1"/>
  <c r="CH19" i="1"/>
  <c r="CJ19" i="1"/>
  <c r="CJ18" i="1"/>
  <c r="CI18" i="1"/>
  <c r="CH18" i="1"/>
  <c r="CI17" i="1"/>
  <c r="CJ17" i="1"/>
  <c r="CH17" i="1"/>
  <c r="CI16" i="1"/>
  <c r="CJ16" i="1"/>
  <c r="CH16" i="1"/>
  <c r="CJ15" i="1"/>
  <c r="CH15" i="1"/>
  <c r="CI15" i="1"/>
  <c r="CH14" i="1"/>
  <c r="CI14" i="1"/>
  <c r="CJ14" i="1"/>
  <c r="CJ13" i="1"/>
  <c r="CH13" i="1"/>
  <c r="CI13" i="1"/>
  <c r="CI12" i="1"/>
  <c r="CH12" i="1"/>
  <c r="CJ12" i="1"/>
  <c r="CJ11" i="1"/>
  <c r="CI11" i="1"/>
  <c r="CH11" i="1"/>
  <c r="CJ10" i="1"/>
  <c r="CI10" i="1"/>
  <c r="CH10" i="1"/>
  <c r="CI9" i="1"/>
  <c r="CH9" i="1"/>
  <c r="CJ9" i="1"/>
  <c r="CJ37" i="1"/>
  <c r="CH37" i="1"/>
  <c r="CI37" i="1"/>
  <c r="CH35" i="1"/>
  <c r="CI35" i="1"/>
  <c r="CJ35" i="1"/>
  <c r="AG31" i="1"/>
  <c r="AG27" i="1"/>
  <c r="AG30" i="1"/>
  <c r="AG28" i="1"/>
  <c r="AG29" i="1"/>
  <c r="AG33" i="1"/>
  <c r="CI34" i="1"/>
  <c r="CH34" i="1"/>
  <c r="CI32" i="1"/>
  <c r="CH32" i="1"/>
  <c r="CI31" i="1"/>
  <c r="CH31" i="1"/>
  <c r="CH30" i="1"/>
  <c r="CI30" i="1"/>
  <c r="CH29" i="1"/>
  <c r="CI29" i="1"/>
  <c r="CI28" i="1"/>
  <c r="CH28" i="1"/>
  <c r="CH26" i="1"/>
  <c r="CI26" i="1"/>
  <c r="CI25" i="1"/>
  <c r="CH25" i="1"/>
  <c r="CI24" i="1"/>
  <c r="CH24" i="1"/>
  <c r="CI108" i="1"/>
  <c r="CH108" i="1"/>
  <c r="CJ108" i="1"/>
  <c r="CI80" i="1"/>
  <c r="CH80" i="1"/>
  <c r="CJ80" i="1"/>
  <c r="CI79" i="1"/>
  <c r="CJ79" i="1"/>
  <c r="CH79" i="1"/>
  <c r="CH51" i="1"/>
  <c r="CJ51" i="1"/>
  <c r="CI51" i="1"/>
  <c r="CH50" i="1"/>
  <c r="CI50" i="1"/>
  <c r="CJ50" i="1"/>
  <c r="CI23" i="1"/>
  <c r="CH23" i="1"/>
  <c r="CJ114" i="1"/>
  <c r="AI35" i="1"/>
  <c r="AI116" i="1"/>
  <c r="AI33" i="1"/>
  <c r="AI30" i="1"/>
  <c r="AI36" i="1"/>
  <c r="AI49" i="1"/>
  <c r="AI63" i="1"/>
  <c r="AI72" i="1"/>
  <c r="AI70" i="1"/>
  <c r="AI88" i="1"/>
  <c r="AI29" i="1"/>
  <c r="AI34" i="1"/>
  <c r="AI25" i="1"/>
  <c r="AI57" i="1"/>
  <c r="AI58" i="1"/>
  <c r="AI38" i="1"/>
  <c r="AI62" i="1"/>
  <c r="AI42" i="1"/>
  <c r="AI75" i="1"/>
  <c r="AI71" i="1"/>
  <c r="AI66" i="1"/>
  <c r="AI99" i="1"/>
  <c r="AI94" i="1"/>
  <c r="AI97" i="1"/>
  <c r="AI119" i="1"/>
  <c r="AI105" i="1"/>
  <c r="AI100" i="1"/>
  <c r="AI107" i="1"/>
  <c r="AI108" i="1"/>
  <c r="AI28" i="1"/>
  <c r="AI48" i="1"/>
  <c r="AI54" i="1"/>
  <c r="AI80" i="1"/>
  <c r="AI104" i="1"/>
  <c r="AI103" i="1"/>
  <c r="AI31" i="1"/>
  <c r="AI64" i="1"/>
  <c r="AI50" i="1"/>
  <c r="AI55" i="1"/>
  <c r="AI61" i="1"/>
  <c r="AI45" i="1"/>
  <c r="AI47" i="1"/>
  <c r="AI60" i="1"/>
  <c r="AI40" i="1"/>
  <c r="AI37" i="1"/>
  <c r="AI69" i="1"/>
  <c r="AI65" i="1"/>
  <c r="AI74" i="1"/>
  <c r="AI90" i="1"/>
  <c r="AI86" i="1"/>
  <c r="AI77" i="1"/>
  <c r="AI82" i="1"/>
  <c r="AI98" i="1"/>
  <c r="AI101" i="1"/>
  <c r="AI115" i="1"/>
  <c r="AI95" i="1"/>
  <c r="AI113" i="1"/>
  <c r="AI44" i="1"/>
  <c r="AI43" i="1"/>
  <c r="AI53" i="1"/>
  <c r="AI84" i="1"/>
  <c r="AI102" i="1"/>
  <c r="AI96" i="1"/>
  <c r="AI26" i="1"/>
  <c r="AI51" i="1"/>
  <c r="AI39" i="1"/>
  <c r="AI46" i="1"/>
  <c r="AI56" i="1"/>
  <c r="AI52" i="1"/>
  <c r="AI41" i="1"/>
  <c r="AI78" i="1"/>
  <c r="AI79" i="1"/>
  <c r="AI92" i="1"/>
  <c r="AI89" i="1"/>
  <c r="AI73" i="1"/>
  <c r="AI67" i="1"/>
  <c r="AI93" i="1"/>
  <c r="AI118" i="1"/>
  <c r="AI106" i="1"/>
  <c r="AI110" i="1"/>
  <c r="AI111" i="1"/>
  <c r="X15" i="1" l="1"/>
  <c r="U15" i="1"/>
  <c r="X16" i="1" l="1"/>
  <c r="U16" i="1"/>
  <c r="X17" i="1" l="1"/>
  <c r="U17" i="1"/>
  <c r="AI13" i="1"/>
  <c r="AI24" i="1"/>
  <c r="AI23" i="1"/>
  <c r="X18" i="1" l="1"/>
  <c r="U18" i="1"/>
  <c r="AI11" i="1"/>
  <c r="AI15" i="1"/>
  <c r="AI10" i="1"/>
  <c r="AI17" i="1"/>
  <c r="AI22" i="1"/>
  <c r="AI16" i="1"/>
  <c r="AI18" i="1"/>
  <c r="AI19" i="1"/>
  <c r="AI12" i="1"/>
  <c r="AI14" i="1"/>
  <c r="AI20" i="1"/>
  <c r="AG18" i="1"/>
  <c r="AG21" i="1"/>
  <c r="AG17" i="1"/>
  <c r="AG14" i="1"/>
  <c r="AG19" i="1"/>
  <c r="X19" i="1" l="1"/>
  <c r="U19" i="1"/>
  <c r="AG11" i="1"/>
  <c r="AG23" i="1"/>
  <c r="AG25" i="1"/>
  <c r="AG24" i="1"/>
  <c r="AG26" i="1"/>
  <c r="AG22" i="1"/>
  <c r="AG9" i="1"/>
  <c r="AG10" i="1"/>
  <c r="AG16" i="1"/>
  <c r="AG12" i="1"/>
  <c r="AG15" i="1"/>
  <c r="AG20" i="1"/>
  <c r="AG13" i="1"/>
  <c r="AI9" i="1"/>
  <c r="R9" i="1"/>
  <c r="CC9" i="1" s="1"/>
  <c r="CD9" i="1" s="1"/>
  <c r="AR9" i="1" l="1"/>
  <c r="X20" i="1"/>
  <c r="U20" i="1"/>
  <c r="R10" i="1"/>
  <c r="AR10" i="1" s="1"/>
  <c r="BF2" i="1"/>
  <c r="Q9" i="1"/>
  <c r="CA9" i="1" s="1"/>
  <c r="CB9" i="1" s="1"/>
  <c r="AQ9" i="1" l="1"/>
  <c r="AS9" i="1" s="1"/>
  <c r="AV9" i="1"/>
  <c r="AU9" i="1" s="1"/>
  <c r="X21" i="1"/>
  <c r="U21" i="1"/>
  <c r="Q10" i="1"/>
  <c r="R11" i="1"/>
  <c r="AI3" i="1"/>
  <c r="AH5" i="1" s="1"/>
  <c r="BG2" i="1"/>
  <c r="BC2" i="1" s="1"/>
  <c r="CH27" i="1" l="1"/>
  <c r="CI27" i="1"/>
  <c r="AT9" i="1"/>
  <c r="BE38" i="1"/>
  <c r="BE26" i="1"/>
  <c r="BR9" i="1"/>
  <c r="AR11" i="1"/>
  <c r="BR120" i="1"/>
  <c r="CJ115" i="1"/>
  <c r="CJ88" i="1"/>
  <c r="BR92" i="1"/>
  <c r="BR64" i="1"/>
  <c r="CJ61" i="1"/>
  <c r="BR36" i="1"/>
  <c r="CJ34" i="1"/>
  <c r="CJ33" i="1"/>
  <c r="BR35" i="1"/>
  <c r="BR34" i="1"/>
  <c r="CJ32" i="1"/>
  <c r="BR33" i="1"/>
  <c r="CJ31" i="1"/>
  <c r="AV10" i="1"/>
  <c r="AU10" i="1" s="1"/>
  <c r="AQ10" i="1"/>
  <c r="Q11" i="1"/>
  <c r="X22" i="1"/>
  <c r="U22" i="1"/>
  <c r="CJ29" i="1"/>
  <c r="CJ30" i="1"/>
  <c r="CJ27" i="1"/>
  <c r="CJ28" i="1"/>
  <c r="CJ25" i="1"/>
  <c r="CJ26" i="1"/>
  <c r="CJ23" i="1"/>
  <c r="CJ24" i="1"/>
  <c r="CJ21" i="1"/>
  <c r="CJ22" i="1"/>
  <c r="BE31" i="1"/>
  <c r="CJ20" i="1"/>
  <c r="Q12" i="1"/>
  <c r="AQ12" i="1" s="1"/>
  <c r="BJ40" i="1"/>
  <c r="BJ37" i="1"/>
  <c r="BJ84" i="1"/>
  <c r="BJ52" i="1"/>
  <c r="BJ16" i="1"/>
  <c r="BJ63" i="1"/>
  <c r="BJ31" i="1"/>
  <c r="BJ70" i="1"/>
  <c r="BJ22" i="1"/>
  <c r="BJ73" i="1"/>
  <c r="BJ29" i="1"/>
  <c r="BJ96" i="1"/>
  <c r="BJ15" i="1"/>
  <c r="BJ92" i="1"/>
  <c r="BJ60" i="1"/>
  <c r="BJ94" i="1"/>
  <c r="BJ76" i="1"/>
  <c r="BJ93" i="1"/>
  <c r="BJ21" i="1"/>
  <c r="BJ75" i="1"/>
  <c r="BJ59" i="1"/>
  <c r="BJ43" i="1"/>
  <c r="BJ27" i="1"/>
  <c r="BJ11" i="1"/>
  <c r="BJ81" i="1"/>
  <c r="BJ33" i="1"/>
  <c r="BJ82" i="1"/>
  <c r="BJ66" i="1"/>
  <c r="BJ50" i="1"/>
  <c r="BJ34" i="1"/>
  <c r="BJ18" i="1"/>
  <c r="BJ97" i="1"/>
  <c r="BJ85" i="1"/>
  <c r="BJ68" i="1"/>
  <c r="BJ32" i="1"/>
  <c r="BJ89" i="1"/>
  <c r="BJ45" i="1"/>
  <c r="BJ95" i="1"/>
  <c r="BJ79" i="1"/>
  <c r="BJ80" i="1"/>
  <c r="BJ64" i="1"/>
  <c r="BJ48" i="1"/>
  <c r="BJ28" i="1"/>
  <c r="BJ12" i="1"/>
  <c r="BJ77" i="1"/>
  <c r="BJ91" i="1"/>
  <c r="BJ86" i="1"/>
  <c r="BJ54" i="1"/>
  <c r="BJ38" i="1"/>
  <c r="BJ61" i="1"/>
  <c r="BJ13" i="1"/>
  <c r="BJ24" i="1"/>
  <c r="BJ69" i="1"/>
  <c r="BJ87" i="1"/>
  <c r="BJ71" i="1"/>
  <c r="BJ55" i="1"/>
  <c r="BJ39" i="1"/>
  <c r="BJ23" i="1"/>
  <c r="BJ65" i="1"/>
  <c r="BJ25" i="1"/>
  <c r="BJ78" i="1"/>
  <c r="BJ62" i="1"/>
  <c r="BJ46" i="1"/>
  <c r="BJ30" i="1"/>
  <c r="BJ14" i="1"/>
  <c r="BJ49" i="1"/>
  <c r="BJ88" i="1"/>
  <c r="BJ72" i="1"/>
  <c r="BJ56" i="1"/>
  <c r="BJ36" i="1"/>
  <c r="BJ20" i="1"/>
  <c r="BJ57" i="1"/>
  <c r="BJ83" i="1"/>
  <c r="BJ67" i="1"/>
  <c r="BJ51" i="1"/>
  <c r="BJ35" i="1"/>
  <c r="BJ19" i="1"/>
  <c r="BJ53" i="1"/>
  <c r="BJ17" i="1"/>
  <c r="BJ90" i="1"/>
  <c r="BJ74" i="1"/>
  <c r="BJ58" i="1"/>
  <c r="BJ42" i="1"/>
  <c r="BJ26" i="1"/>
  <c r="BJ10" i="1"/>
  <c r="BJ98" i="1"/>
  <c r="BJ99" i="1"/>
  <c r="BJ100" i="1"/>
  <c r="BJ101" i="1"/>
  <c r="BJ102" i="1"/>
  <c r="BJ103" i="1"/>
  <c r="BJ104" i="1"/>
  <c r="BJ105" i="1"/>
  <c r="BJ106" i="1"/>
  <c r="BJ107" i="1"/>
  <c r="BJ108" i="1"/>
  <c r="BJ109" i="1"/>
  <c r="BJ110" i="1"/>
  <c r="BJ111" i="1"/>
  <c r="BJ112" i="1"/>
  <c r="BJ113" i="1"/>
  <c r="BJ114" i="1"/>
  <c r="BJ115" i="1"/>
  <c r="BJ116" i="1"/>
  <c r="BJ117" i="1"/>
  <c r="BJ118" i="1"/>
  <c r="BJ120" i="1"/>
  <c r="BJ119" i="1"/>
  <c r="BD25" i="1"/>
  <c r="BD21" i="1"/>
  <c r="BD19" i="1"/>
  <c r="BD14" i="1"/>
  <c r="BD30" i="1"/>
  <c r="BD36" i="1"/>
  <c r="BD40" i="1"/>
  <c r="BD44" i="1"/>
  <c r="BD48" i="1"/>
  <c r="BD52" i="1"/>
  <c r="BD56" i="1"/>
  <c r="BD60" i="1"/>
  <c r="BD64" i="1"/>
  <c r="BD68" i="1"/>
  <c r="BD72" i="1"/>
  <c r="BD76" i="1"/>
  <c r="BD80" i="1"/>
  <c r="BD84" i="1"/>
  <c r="BD88" i="1"/>
  <c r="BD92" i="1"/>
  <c r="BD96" i="1"/>
  <c r="BD100" i="1"/>
  <c r="BD104" i="1"/>
  <c r="BD108" i="1"/>
  <c r="BD112" i="1"/>
  <c r="BD116" i="1"/>
  <c r="BD120" i="1"/>
  <c r="BD20" i="1"/>
  <c r="BD12" i="1"/>
  <c r="BD29" i="1"/>
  <c r="BD26" i="1"/>
  <c r="BD37" i="1"/>
  <c r="BD45" i="1"/>
  <c r="BD49" i="1"/>
  <c r="BD57" i="1"/>
  <c r="BD65" i="1"/>
  <c r="BD73" i="1"/>
  <c r="BD77" i="1"/>
  <c r="BD85" i="1"/>
  <c r="BD89" i="1"/>
  <c r="BD97" i="1"/>
  <c r="BD105" i="1"/>
  <c r="BD109" i="1"/>
  <c r="BD117" i="1"/>
  <c r="BD31" i="1"/>
  <c r="BD33" i="1"/>
  <c r="BD41" i="1"/>
  <c r="BD53" i="1"/>
  <c r="BD61" i="1"/>
  <c r="BD69" i="1"/>
  <c r="BD81" i="1"/>
  <c r="BD93" i="1"/>
  <c r="BD101" i="1"/>
  <c r="BD113" i="1"/>
  <c r="BD27" i="1"/>
  <c r="BD18" i="1"/>
  <c r="BD10" i="1"/>
  <c r="BD13" i="1"/>
  <c r="BD23" i="1"/>
  <c r="BD16" i="1"/>
  <c r="BD34" i="1"/>
  <c r="BD38" i="1"/>
  <c r="BD42" i="1"/>
  <c r="BD46" i="1"/>
  <c r="BD50" i="1"/>
  <c r="BD54" i="1"/>
  <c r="BD58" i="1"/>
  <c r="BD62" i="1"/>
  <c r="BD66" i="1"/>
  <c r="BD70" i="1"/>
  <c r="BD74" i="1"/>
  <c r="BD78" i="1"/>
  <c r="BD82" i="1"/>
  <c r="BD86" i="1"/>
  <c r="BD90" i="1"/>
  <c r="BD94" i="1"/>
  <c r="BD98" i="1"/>
  <c r="BD102" i="1"/>
  <c r="BD106" i="1"/>
  <c r="BD110" i="1"/>
  <c r="BD114" i="1"/>
  <c r="BD118" i="1"/>
  <c r="BD22" i="1"/>
  <c r="BD15" i="1"/>
  <c r="BD11" i="1"/>
  <c r="BD35" i="1"/>
  <c r="BD43" i="1"/>
  <c r="BD55" i="1"/>
  <c r="BD63" i="1"/>
  <c r="BD71" i="1"/>
  <c r="BD79" i="1"/>
  <c r="BD87" i="1"/>
  <c r="BD95" i="1"/>
  <c r="BD107" i="1"/>
  <c r="BD115" i="1"/>
  <c r="BD24" i="1"/>
  <c r="BD17" i="1"/>
  <c r="BD39" i="1"/>
  <c r="BD47" i="1"/>
  <c r="BD51" i="1"/>
  <c r="BD59" i="1"/>
  <c r="BD67" i="1"/>
  <c r="BD75" i="1"/>
  <c r="BD83" i="1"/>
  <c r="BD91" i="1"/>
  <c r="BD99" i="1"/>
  <c r="BD103" i="1"/>
  <c r="BD111" i="1"/>
  <c r="BD119" i="1"/>
  <c r="BJ47" i="1"/>
  <c r="BK92" i="1"/>
  <c r="BK76" i="1"/>
  <c r="BJ44" i="1"/>
  <c r="CH114" i="1"/>
  <c r="BK77" i="1"/>
  <c r="BH113" i="1"/>
  <c r="CI114" i="1"/>
  <c r="BF54" i="1"/>
  <c r="BG63" i="1"/>
  <c r="BD28" i="1"/>
  <c r="BE40" i="1"/>
  <c r="BK79" i="1"/>
  <c r="BJ41" i="1"/>
  <c r="BM96" i="1"/>
  <c r="BL92" i="1"/>
  <c r="BH17" i="1"/>
  <c r="BH21" i="1"/>
  <c r="BF18" i="1"/>
  <c r="BG25" i="1"/>
  <c r="BE37" i="1"/>
  <c r="BD32" i="1"/>
  <c r="R12" i="1"/>
  <c r="AR12" i="1" s="1"/>
  <c r="AT12" i="1" s="1"/>
  <c r="AS12" i="1" l="1"/>
  <c r="AS10" i="1"/>
  <c r="AT10" i="1"/>
  <c r="AQ11" i="1"/>
  <c r="AS11" i="1" s="1"/>
  <c r="AV11" i="1"/>
  <c r="AU11" i="1" s="1"/>
  <c r="AV12" i="1"/>
  <c r="AU12" i="1" s="1"/>
  <c r="Q13" i="1"/>
  <c r="AQ13" i="1" s="1"/>
  <c r="X23" i="1"/>
  <c r="U23" i="1"/>
  <c r="Q14" i="1"/>
  <c r="AQ14" i="1" s="1"/>
  <c r="R13" i="1"/>
  <c r="AR13" i="1" s="1"/>
  <c r="AS13" i="1" l="1"/>
  <c r="AT11" i="1"/>
  <c r="AT13" i="1"/>
  <c r="AV13" i="1"/>
  <c r="AU13" i="1" s="1"/>
  <c r="X24" i="1"/>
  <c r="Q15" i="1"/>
  <c r="AQ15" i="1" s="1"/>
  <c r="U24" i="1"/>
  <c r="Q16" i="1"/>
  <c r="AQ16" i="1" s="1"/>
  <c r="R14" i="1"/>
  <c r="AV14" i="1" l="1"/>
  <c r="AU14" i="1" s="1"/>
  <c r="AR14" i="1"/>
  <c r="X25" i="1"/>
  <c r="U25" i="1"/>
  <c r="Q17" i="1"/>
  <c r="AQ17" i="1" s="1"/>
  <c r="R15" i="1"/>
  <c r="AT14" i="1" l="1"/>
  <c r="AS14" i="1"/>
  <c r="AV15" i="1"/>
  <c r="AU15" i="1" s="1"/>
  <c r="AR15" i="1"/>
  <c r="Q18" i="1"/>
  <c r="AQ18" i="1" s="1"/>
  <c r="X26" i="1"/>
  <c r="U26" i="1"/>
  <c r="Q19" i="1"/>
  <c r="AQ19" i="1" s="1"/>
  <c r="R16" i="1"/>
  <c r="AT15" i="1" l="1"/>
  <c r="AS15" i="1"/>
  <c r="AV16" i="1"/>
  <c r="AU16" i="1" s="1"/>
  <c r="AR16" i="1"/>
  <c r="Q20" i="1"/>
  <c r="AQ20" i="1" s="1"/>
  <c r="X27" i="1"/>
  <c r="U27" i="1"/>
  <c r="Q22" i="1"/>
  <c r="AQ22" i="1" s="1"/>
  <c r="R17" i="1"/>
  <c r="AT16" i="1" l="1"/>
  <c r="AS16" i="1"/>
  <c r="AV17" i="1"/>
  <c r="AU17" i="1" s="1"/>
  <c r="AR17" i="1"/>
  <c r="Q21" i="1"/>
  <c r="AQ21" i="1" s="1"/>
  <c r="Q23" i="1"/>
  <c r="AQ23" i="1" s="1"/>
  <c r="X28" i="1"/>
  <c r="U28" i="1"/>
  <c r="Q25" i="1"/>
  <c r="AQ25" i="1" s="1"/>
  <c r="R18" i="1"/>
  <c r="AT17" i="1" l="1"/>
  <c r="AS17" i="1"/>
  <c r="AV18" i="1"/>
  <c r="AU18" i="1" s="1"/>
  <c r="AR18" i="1"/>
  <c r="X29" i="1"/>
  <c r="Q24" i="1"/>
  <c r="AQ24" i="1" s="1"/>
  <c r="U29" i="1"/>
  <c r="Q26" i="1"/>
  <c r="AQ26" i="1" s="1"/>
  <c r="R19" i="1"/>
  <c r="AT18" i="1" l="1"/>
  <c r="AS18" i="1"/>
  <c r="AV19" i="1"/>
  <c r="AU19" i="1" s="1"/>
  <c r="AR19" i="1"/>
  <c r="Q27" i="1"/>
  <c r="AQ27" i="1" s="1"/>
  <c r="X30" i="1"/>
  <c r="U30" i="1"/>
  <c r="Q28" i="1"/>
  <c r="R20" i="1"/>
  <c r="AT19" i="1" l="1"/>
  <c r="AS19" i="1"/>
  <c r="AQ28" i="1"/>
  <c r="CA28" i="1"/>
  <c r="CB28" i="1" s="1"/>
  <c r="AV20" i="1"/>
  <c r="AU20" i="1" s="1"/>
  <c r="AR20" i="1"/>
  <c r="X31" i="1"/>
  <c r="Q29" i="1"/>
  <c r="U31" i="1"/>
  <c r="Q30" i="1"/>
  <c r="AQ30" i="1" s="1"/>
  <c r="R21" i="1"/>
  <c r="Q33" i="1"/>
  <c r="AT20" i="1" l="1"/>
  <c r="AS20" i="1"/>
  <c r="BW28" i="1"/>
  <c r="AQ29" i="1"/>
  <c r="CA29" i="1"/>
  <c r="CB29" i="1" s="1"/>
  <c r="AV21" i="1"/>
  <c r="AU21" i="1" s="1"/>
  <c r="AR21" i="1"/>
  <c r="X32" i="1"/>
  <c r="U32" i="1"/>
  <c r="Q31" i="1"/>
  <c r="Q32" i="1" s="1"/>
  <c r="R22" i="1"/>
  <c r="Q34" i="1"/>
  <c r="AT21" i="1" l="1"/>
  <c r="AS21" i="1"/>
  <c r="BW29" i="1"/>
  <c r="AV22" i="1"/>
  <c r="AU22" i="1" s="1"/>
  <c r="AR22" i="1"/>
  <c r="AQ31" i="1"/>
  <c r="AQ32" i="1"/>
  <c r="CA32" i="1"/>
  <c r="X33" i="1"/>
  <c r="U33" i="1"/>
  <c r="R23" i="1"/>
  <c r="Q35" i="1"/>
  <c r="AT22" i="1" l="1"/>
  <c r="AS22" i="1"/>
  <c r="AQ33" i="1"/>
  <c r="CA33" i="1"/>
  <c r="CB33" i="1" s="1"/>
  <c r="AV23" i="1"/>
  <c r="AU23" i="1" s="1"/>
  <c r="AR23" i="1"/>
  <c r="X34" i="1"/>
  <c r="U34" i="1"/>
  <c r="R24" i="1"/>
  <c r="Q36" i="1"/>
  <c r="AT23" i="1" l="1"/>
  <c r="AS23" i="1"/>
  <c r="AQ34" i="1"/>
  <c r="CA34" i="1"/>
  <c r="CB34" i="1" s="1"/>
  <c r="AV24" i="1"/>
  <c r="AU24" i="1" s="1"/>
  <c r="AR24" i="1"/>
  <c r="X35" i="1"/>
  <c r="U35" i="1"/>
  <c r="Q37" i="1"/>
  <c r="R25" i="1"/>
  <c r="AT24" i="1" l="1"/>
  <c r="AS24" i="1"/>
  <c r="AQ35" i="1"/>
  <c r="CA35" i="1"/>
  <c r="CB35" i="1" s="1"/>
  <c r="AV25" i="1"/>
  <c r="AU25" i="1" s="1"/>
  <c r="AR25" i="1"/>
  <c r="X36" i="1"/>
  <c r="U36" i="1"/>
  <c r="Q38" i="1"/>
  <c r="R26" i="1"/>
  <c r="AT25" i="1" l="1"/>
  <c r="AS25" i="1"/>
  <c r="AQ36" i="1"/>
  <c r="CA36" i="1"/>
  <c r="CB36" i="1" s="1"/>
  <c r="AV26" i="1"/>
  <c r="AU26" i="1" s="1"/>
  <c r="AR26" i="1"/>
  <c r="X37" i="1"/>
  <c r="U37" i="1"/>
  <c r="AQ37" i="1" s="1"/>
  <c r="R27" i="1"/>
  <c r="Q39" i="1"/>
  <c r="AT26" i="1" l="1"/>
  <c r="AS26" i="1"/>
  <c r="AV27" i="1"/>
  <c r="AU27" i="1" s="1"/>
  <c r="AR27" i="1"/>
  <c r="X38" i="1"/>
  <c r="U38" i="1"/>
  <c r="AQ38" i="1" s="1"/>
  <c r="Q40" i="1"/>
  <c r="R28" i="1"/>
  <c r="CC28" i="1" s="1"/>
  <c r="CD28" i="1" s="1"/>
  <c r="AT27" i="1" l="1"/>
  <c r="AS27" i="1"/>
  <c r="AV28" i="1"/>
  <c r="AU28" i="1" s="1"/>
  <c r="AR28" i="1"/>
  <c r="X39" i="1"/>
  <c r="U39" i="1"/>
  <c r="AQ39" i="1" s="1"/>
  <c r="R29" i="1"/>
  <c r="CC29" i="1" s="1"/>
  <c r="CD29" i="1" s="1"/>
  <c r="Q41" i="1"/>
  <c r="BT28" i="1" l="1"/>
  <c r="AS28" i="1"/>
  <c r="BS28" i="1" s="1"/>
  <c r="AT28" i="1"/>
  <c r="BX28" i="1"/>
  <c r="AV29" i="1"/>
  <c r="AU29" i="1" s="1"/>
  <c r="AR29" i="1"/>
  <c r="AS29" i="1" s="1"/>
  <c r="X40" i="1"/>
  <c r="U40" i="1"/>
  <c r="R30" i="1"/>
  <c r="Q42" i="1"/>
  <c r="BR28" i="1" l="1"/>
  <c r="AT29" i="1"/>
  <c r="BR29" i="1" s="1"/>
  <c r="BX29" i="1"/>
  <c r="AQ40" i="1"/>
  <c r="CA40" i="1"/>
  <c r="CB40" i="1" s="1"/>
  <c r="AV30" i="1"/>
  <c r="AU30" i="1" s="1"/>
  <c r="AR30" i="1"/>
  <c r="X41" i="1"/>
  <c r="U41" i="1"/>
  <c r="AQ41" i="1" s="1"/>
  <c r="Q43" i="1"/>
  <c r="R31" i="1"/>
  <c r="AT30" i="1" l="1"/>
  <c r="AS30" i="1"/>
  <c r="BW40" i="1"/>
  <c r="AV31" i="1"/>
  <c r="AU31" i="1" s="1"/>
  <c r="AR31" i="1"/>
  <c r="X42" i="1"/>
  <c r="U42" i="1"/>
  <c r="AQ42" i="1" s="1"/>
  <c r="R32" i="1"/>
  <c r="AR32" i="1" s="1"/>
  <c r="Q44" i="1"/>
  <c r="AT31" i="1" l="1"/>
  <c r="AS31" i="1"/>
  <c r="AT32" i="1"/>
  <c r="AS32" i="1"/>
  <c r="CC32" i="1"/>
  <c r="CD32" i="1" s="1"/>
  <c r="AV32" i="1"/>
  <c r="X43" i="1"/>
  <c r="U43" i="1"/>
  <c r="AQ43" i="1" s="1"/>
  <c r="Q45" i="1"/>
  <c r="R33" i="1"/>
  <c r="CC33" i="1" s="1"/>
  <c r="CD33" i="1" s="1"/>
  <c r="AR33" i="1" l="1"/>
  <c r="AS33" i="1" s="1"/>
  <c r="AV33" i="1"/>
  <c r="AU33" i="1" s="1"/>
  <c r="AU32" i="1"/>
  <c r="CB32" i="1"/>
  <c r="X44" i="1"/>
  <c r="R34" i="1"/>
  <c r="CC34" i="1" s="1"/>
  <c r="CD34" i="1" s="1"/>
  <c r="U44" i="1"/>
  <c r="AQ44" i="1" s="1"/>
  <c r="BX32" i="1"/>
  <c r="BT32" i="1"/>
  <c r="R36" i="1"/>
  <c r="CC36" i="1" s="1"/>
  <c r="CD36" i="1" s="1"/>
  <c r="Q46" i="1"/>
  <c r="BX33" i="1" l="1"/>
  <c r="AT33" i="1"/>
  <c r="AR36" i="1"/>
  <c r="AS36" i="1" s="1"/>
  <c r="AV36" i="1"/>
  <c r="AU36" i="1" s="1"/>
  <c r="AR34" i="1"/>
  <c r="AS34" i="1" s="1"/>
  <c r="AV34" i="1"/>
  <c r="AU34" i="1" s="1"/>
  <c r="X45" i="1"/>
  <c r="U45" i="1"/>
  <c r="AQ45" i="1" s="1"/>
  <c r="R35" i="1"/>
  <c r="CC35" i="1" s="1"/>
  <c r="CD35" i="1" s="1"/>
  <c r="BW32" i="1"/>
  <c r="BS32" i="1"/>
  <c r="BR32" i="1"/>
  <c r="R37" i="1"/>
  <c r="Q47" i="1"/>
  <c r="BX36" i="1" l="1"/>
  <c r="AT36" i="1"/>
  <c r="BX34" i="1"/>
  <c r="AT34" i="1"/>
  <c r="AR37" i="1"/>
  <c r="AV37" i="1"/>
  <c r="AU37" i="1" s="1"/>
  <c r="AR35" i="1"/>
  <c r="AS35" i="1" s="1"/>
  <c r="AV35" i="1"/>
  <c r="AU35" i="1" s="1"/>
  <c r="X46" i="1"/>
  <c r="U46" i="1"/>
  <c r="AQ46" i="1" s="1"/>
  <c r="R38" i="1"/>
  <c r="Q48" i="1"/>
  <c r="AT37" i="1" l="1"/>
  <c r="AS37" i="1"/>
  <c r="BX35" i="1"/>
  <c r="AT35" i="1"/>
  <c r="AR38" i="1"/>
  <c r="AV38" i="1"/>
  <c r="AU38" i="1" s="1"/>
  <c r="X47" i="1"/>
  <c r="U47" i="1"/>
  <c r="AQ47" i="1" s="1"/>
  <c r="R39" i="1"/>
  <c r="R40" i="1"/>
  <c r="CC40" i="1" s="1"/>
  <c r="CD40" i="1" s="1"/>
  <c r="Q49" i="1"/>
  <c r="AT38" i="1" l="1"/>
  <c r="AS38" i="1"/>
  <c r="AR40" i="1"/>
  <c r="AS40" i="1" s="1"/>
  <c r="AV40" i="1"/>
  <c r="AU40" i="1" s="1"/>
  <c r="AV39" i="1"/>
  <c r="AU39" i="1" s="1"/>
  <c r="AR39" i="1"/>
  <c r="X48" i="1"/>
  <c r="U48" i="1"/>
  <c r="AQ48" i="1" s="1"/>
  <c r="R41" i="1"/>
  <c r="Q50" i="1"/>
  <c r="AT39" i="1" l="1"/>
  <c r="AS39" i="1"/>
  <c r="AT40" i="1"/>
  <c r="BR40" i="1" s="1"/>
  <c r="BX40" i="1"/>
  <c r="AR41" i="1"/>
  <c r="AV41" i="1"/>
  <c r="AU41" i="1" s="1"/>
  <c r="X49" i="1"/>
  <c r="U49" i="1"/>
  <c r="AQ49" i="1" s="1"/>
  <c r="R42" i="1"/>
  <c r="Q51" i="1"/>
  <c r="AT41" i="1" l="1"/>
  <c r="AS41" i="1"/>
  <c r="AV42" i="1"/>
  <c r="AU42" i="1" s="1"/>
  <c r="AR42" i="1"/>
  <c r="X50" i="1"/>
  <c r="U50" i="1"/>
  <c r="AQ50" i="1" s="1"/>
  <c r="R43" i="1"/>
  <c r="Q52" i="1"/>
  <c r="AT42" i="1" l="1"/>
  <c r="AS42" i="1"/>
  <c r="AR43" i="1"/>
  <c r="AV43" i="1"/>
  <c r="AU43" i="1" s="1"/>
  <c r="X51" i="1"/>
  <c r="U51" i="1"/>
  <c r="AQ51" i="1" s="1"/>
  <c r="R44" i="1"/>
  <c r="Q53" i="1"/>
  <c r="AT43" i="1" l="1"/>
  <c r="AS43" i="1"/>
  <c r="AR44" i="1"/>
  <c r="AV44" i="1"/>
  <c r="AU44" i="1" s="1"/>
  <c r="X52" i="1"/>
  <c r="U52" i="1"/>
  <c r="AQ52" i="1" s="1"/>
  <c r="R45" i="1"/>
  <c r="Q54" i="1"/>
  <c r="AT44" i="1" l="1"/>
  <c r="AS44" i="1"/>
  <c r="AR45" i="1"/>
  <c r="AV45" i="1"/>
  <c r="AU45" i="1" s="1"/>
  <c r="X53" i="1"/>
  <c r="U53" i="1"/>
  <c r="AQ53" i="1" s="1"/>
  <c r="R46" i="1"/>
  <c r="Q55" i="1"/>
  <c r="AT45" i="1" l="1"/>
  <c r="AS45" i="1"/>
  <c r="AR46" i="1"/>
  <c r="AV46" i="1"/>
  <c r="AU46" i="1" s="1"/>
  <c r="X54" i="1"/>
  <c r="U54" i="1"/>
  <c r="AQ54" i="1" s="1"/>
  <c r="R47" i="1"/>
  <c r="Q56" i="1"/>
  <c r="AT46" i="1" l="1"/>
  <c r="AS46" i="1"/>
  <c r="AV47" i="1"/>
  <c r="AU47" i="1" s="1"/>
  <c r="AR47" i="1"/>
  <c r="X55" i="1"/>
  <c r="U55" i="1"/>
  <c r="AQ55" i="1" s="1"/>
  <c r="R48" i="1"/>
  <c r="Q57" i="1"/>
  <c r="AT47" i="1" l="1"/>
  <c r="AS47" i="1"/>
  <c r="AR48" i="1"/>
  <c r="AV48" i="1"/>
  <c r="AU48" i="1" s="1"/>
  <c r="X56" i="1"/>
  <c r="U56" i="1"/>
  <c r="AQ56" i="1" s="1"/>
  <c r="R49" i="1"/>
  <c r="R50" i="1"/>
  <c r="Q58" i="1"/>
  <c r="AT48" i="1" l="1"/>
  <c r="AS48" i="1"/>
  <c r="AR50" i="1"/>
  <c r="AV50" i="1"/>
  <c r="AU50" i="1" s="1"/>
  <c r="AR49" i="1"/>
  <c r="AV49" i="1"/>
  <c r="AU49" i="1" s="1"/>
  <c r="X57" i="1"/>
  <c r="U57" i="1"/>
  <c r="AQ57" i="1" s="1"/>
  <c r="R51" i="1"/>
  <c r="Q59" i="1"/>
  <c r="AT50" i="1" l="1"/>
  <c r="AS50" i="1"/>
  <c r="AT49" i="1"/>
  <c r="AS49" i="1"/>
  <c r="AR51" i="1"/>
  <c r="AV51" i="1"/>
  <c r="AU51" i="1" s="1"/>
  <c r="X58" i="1"/>
  <c r="U58" i="1"/>
  <c r="AQ58" i="1" s="1"/>
  <c r="R52" i="1"/>
  <c r="Q60" i="1"/>
  <c r="AT51" i="1" l="1"/>
  <c r="AS51" i="1"/>
  <c r="AV52" i="1"/>
  <c r="AU52" i="1" s="1"/>
  <c r="AR52" i="1"/>
  <c r="X59" i="1"/>
  <c r="AR59" i="1" s="1"/>
  <c r="U59" i="1"/>
  <c r="AQ59" i="1" s="1"/>
  <c r="R53" i="1"/>
  <c r="Q61" i="1"/>
  <c r="AS59" i="1" l="1"/>
  <c r="AT52" i="1"/>
  <c r="AS52" i="1"/>
  <c r="AT59" i="1"/>
  <c r="AR53" i="1"/>
  <c r="AV53" i="1"/>
  <c r="AU53" i="1" s="1"/>
  <c r="AV59" i="1"/>
  <c r="AU59" i="1" s="1"/>
  <c r="X60" i="1"/>
  <c r="AR60" i="1" s="1"/>
  <c r="U60" i="1"/>
  <c r="AQ60" i="1" s="1"/>
  <c r="R54" i="1"/>
  <c r="Q62" i="1"/>
  <c r="AS60" i="1" l="1"/>
  <c r="AT60" i="1"/>
  <c r="AT53" i="1"/>
  <c r="AS53" i="1"/>
  <c r="AR54" i="1"/>
  <c r="AV54" i="1"/>
  <c r="AU54" i="1" s="1"/>
  <c r="AV60" i="1"/>
  <c r="AU60" i="1" s="1"/>
  <c r="X61" i="1"/>
  <c r="U61" i="1"/>
  <c r="AQ61" i="1" s="1"/>
  <c r="R55" i="1"/>
  <c r="Q63" i="1"/>
  <c r="AT54" i="1" l="1"/>
  <c r="AS54" i="1"/>
  <c r="AR55" i="1"/>
  <c r="AV55" i="1"/>
  <c r="AU55" i="1" s="1"/>
  <c r="X62" i="1"/>
  <c r="AR62" i="1" s="1"/>
  <c r="U62" i="1"/>
  <c r="AQ62" i="1" s="1"/>
  <c r="R56" i="1"/>
  <c r="Q64" i="1"/>
  <c r="AS62" i="1" l="1"/>
  <c r="AT62" i="1"/>
  <c r="AT55" i="1"/>
  <c r="AS55" i="1"/>
  <c r="AR56" i="1"/>
  <c r="AV56" i="1"/>
  <c r="AU56" i="1" s="1"/>
  <c r="AV62" i="1"/>
  <c r="AU62" i="1" s="1"/>
  <c r="X63" i="1"/>
  <c r="U63" i="1"/>
  <c r="AQ63" i="1" s="1"/>
  <c r="Q65" i="1"/>
  <c r="R57" i="1"/>
  <c r="Q66" i="1"/>
  <c r="AT56" i="1" l="1"/>
  <c r="AS56" i="1"/>
  <c r="AR57" i="1"/>
  <c r="AV57" i="1"/>
  <c r="AU57" i="1" s="1"/>
  <c r="X64" i="1"/>
  <c r="U64" i="1"/>
  <c r="R58" i="1"/>
  <c r="Q67" i="1"/>
  <c r="AT57" i="1" l="1"/>
  <c r="AS57" i="1"/>
  <c r="AQ64" i="1"/>
  <c r="CA64" i="1"/>
  <c r="CB64" i="1" s="1"/>
  <c r="AR64" i="1"/>
  <c r="CC64" i="1"/>
  <c r="CD64" i="1" s="1"/>
  <c r="AR58" i="1"/>
  <c r="AV58" i="1"/>
  <c r="AU58" i="1" s="1"/>
  <c r="AV64" i="1"/>
  <c r="AU64" i="1" s="1"/>
  <c r="X65" i="1"/>
  <c r="AR65" i="1" s="1"/>
  <c r="U65" i="1"/>
  <c r="AQ65" i="1" s="1"/>
  <c r="AS65" i="1" s="1"/>
  <c r="R61" i="1"/>
  <c r="Q68" i="1"/>
  <c r="AT65" i="1" l="1"/>
  <c r="AS64" i="1"/>
  <c r="AT58" i="1"/>
  <c r="AS58" i="1"/>
  <c r="BX64" i="1"/>
  <c r="AT64" i="1"/>
  <c r="AR61" i="1"/>
  <c r="AV61" i="1"/>
  <c r="AU61" i="1" s="1"/>
  <c r="AV65" i="1"/>
  <c r="AU65" i="1" s="1"/>
  <c r="X66" i="1"/>
  <c r="AR66" i="1" s="1"/>
  <c r="U66" i="1"/>
  <c r="AQ66" i="1" s="1"/>
  <c r="R63" i="1"/>
  <c r="Q69" i="1"/>
  <c r="AS66" i="1" l="1"/>
  <c r="AT61" i="1"/>
  <c r="AS61" i="1"/>
  <c r="AT66" i="1"/>
  <c r="AR63" i="1"/>
  <c r="AV63" i="1"/>
  <c r="AU63" i="1" s="1"/>
  <c r="AV66" i="1"/>
  <c r="AU66" i="1" s="1"/>
  <c r="X67" i="1"/>
  <c r="U67" i="1"/>
  <c r="AQ67" i="1" s="1"/>
  <c r="R67" i="1"/>
  <c r="Q70" i="1"/>
  <c r="AT63" i="1" l="1"/>
  <c r="AS63" i="1"/>
  <c r="AR67" i="1"/>
  <c r="AT67" i="1" s="1"/>
  <c r="AV67" i="1"/>
  <c r="AU67" i="1" s="1"/>
  <c r="X68" i="1"/>
  <c r="U68" i="1"/>
  <c r="AQ68" i="1" s="1"/>
  <c r="R68" i="1"/>
  <c r="Q71" i="1"/>
  <c r="AS67" i="1" l="1"/>
  <c r="AR68" i="1"/>
  <c r="AT68" i="1" s="1"/>
  <c r="AV68" i="1"/>
  <c r="AU68" i="1" s="1"/>
  <c r="X69" i="1"/>
  <c r="U69" i="1"/>
  <c r="AQ69" i="1" s="1"/>
  <c r="R69" i="1"/>
  <c r="Q72" i="1"/>
  <c r="AS68" i="1" l="1"/>
  <c r="AR69" i="1"/>
  <c r="AT69" i="1" s="1"/>
  <c r="AV69" i="1"/>
  <c r="AU69" i="1" s="1"/>
  <c r="X70" i="1"/>
  <c r="U70" i="1"/>
  <c r="AQ70" i="1" s="1"/>
  <c r="R70" i="1"/>
  <c r="Q73" i="1"/>
  <c r="AS69" i="1" l="1"/>
  <c r="AR70" i="1"/>
  <c r="AT70" i="1" s="1"/>
  <c r="AV70" i="1"/>
  <c r="AU70" i="1" s="1"/>
  <c r="X71" i="1"/>
  <c r="AR71" i="1" s="1"/>
  <c r="U71" i="1"/>
  <c r="AQ71" i="1" s="1"/>
  <c r="R74" i="1"/>
  <c r="Q74" i="1"/>
  <c r="AS71" i="1" l="1"/>
  <c r="AT71" i="1"/>
  <c r="AS70" i="1"/>
  <c r="AV71" i="1"/>
  <c r="AU71" i="1" s="1"/>
  <c r="X72" i="1"/>
  <c r="AR72" i="1" s="1"/>
  <c r="U72" i="1"/>
  <c r="AQ72" i="1" s="1"/>
  <c r="R75" i="1"/>
  <c r="Q75" i="1"/>
  <c r="AS72" i="1" l="1"/>
  <c r="AT72" i="1"/>
  <c r="AV72" i="1"/>
  <c r="AU72" i="1" s="1"/>
  <c r="X73" i="1"/>
  <c r="AR73" i="1" s="1"/>
  <c r="U73" i="1"/>
  <c r="AQ73" i="1" s="1"/>
  <c r="R76" i="1"/>
  <c r="Q76" i="1"/>
  <c r="AS73" i="1" l="1"/>
  <c r="AT73" i="1"/>
  <c r="AV73" i="1"/>
  <c r="AU73" i="1" s="1"/>
  <c r="X74" i="1"/>
  <c r="AR74" i="1" s="1"/>
  <c r="U74" i="1"/>
  <c r="AQ74" i="1" s="1"/>
  <c r="R77" i="1"/>
  <c r="Q77" i="1"/>
  <c r="AS74" i="1" l="1"/>
  <c r="AT74" i="1"/>
  <c r="AV74" i="1"/>
  <c r="AU74" i="1" s="1"/>
  <c r="X75" i="1"/>
  <c r="AR75" i="1" s="1"/>
  <c r="U75" i="1"/>
  <c r="AQ75" i="1" s="1"/>
  <c r="R78" i="1"/>
  <c r="Q78" i="1"/>
  <c r="AS75" i="1" l="1"/>
  <c r="AT75" i="1"/>
  <c r="AV75" i="1"/>
  <c r="AU75" i="1" s="1"/>
  <c r="X76" i="1"/>
  <c r="AR76" i="1" s="1"/>
  <c r="U76" i="1"/>
  <c r="AQ76" i="1" s="1"/>
  <c r="R79" i="1"/>
  <c r="Q79" i="1"/>
  <c r="AS76" i="1" l="1"/>
  <c r="AT76" i="1"/>
  <c r="AV76" i="1"/>
  <c r="AU76" i="1" s="1"/>
  <c r="X77" i="1"/>
  <c r="AR77" i="1" s="1"/>
  <c r="U77" i="1"/>
  <c r="AQ77" i="1" s="1"/>
  <c r="R80" i="1"/>
  <c r="Q80" i="1"/>
  <c r="AS77" i="1" l="1"/>
  <c r="AT77" i="1"/>
  <c r="AV77" i="1"/>
  <c r="AU77" i="1" s="1"/>
  <c r="X78" i="1"/>
  <c r="AR78" i="1" s="1"/>
  <c r="U78" i="1"/>
  <c r="AQ78" i="1" s="1"/>
  <c r="R81" i="1"/>
  <c r="Q81" i="1"/>
  <c r="AS78" i="1" l="1"/>
  <c r="AT78" i="1"/>
  <c r="AV78" i="1"/>
  <c r="AU78" i="1" s="1"/>
  <c r="X79" i="1"/>
  <c r="AR79" i="1" s="1"/>
  <c r="U79" i="1"/>
  <c r="AQ79" i="1" s="1"/>
  <c r="R82" i="1"/>
  <c r="Q82" i="1"/>
  <c r="AS79" i="1" l="1"/>
  <c r="AT79" i="1"/>
  <c r="AV79" i="1"/>
  <c r="AU79" i="1" s="1"/>
  <c r="X80" i="1"/>
  <c r="AR80" i="1" s="1"/>
  <c r="U80" i="1"/>
  <c r="AQ80" i="1" s="1"/>
  <c r="R83" i="1"/>
  <c r="Q83" i="1"/>
  <c r="AS80" i="1" l="1"/>
  <c r="AT80" i="1"/>
  <c r="AV80" i="1"/>
  <c r="AU80" i="1" s="1"/>
  <c r="X81" i="1"/>
  <c r="AR81" i="1" s="1"/>
  <c r="U81" i="1"/>
  <c r="AQ81" i="1" s="1"/>
  <c r="R84" i="1"/>
  <c r="Q84" i="1"/>
  <c r="AS81" i="1" l="1"/>
  <c r="AT81" i="1"/>
  <c r="AV81" i="1"/>
  <c r="AU81" i="1" s="1"/>
  <c r="X82" i="1"/>
  <c r="AR82" i="1" s="1"/>
  <c r="U82" i="1"/>
  <c r="AQ82" i="1" s="1"/>
  <c r="R85" i="1"/>
  <c r="Q86" i="1"/>
  <c r="AS82" i="1" l="1"/>
  <c r="AT82" i="1"/>
  <c r="AV82" i="1"/>
  <c r="AU82" i="1" s="1"/>
  <c r="X83" i="1"/>
  <c r="AR83" i="1" s="1"/>
  <c r="U83" i="1"/>
  <c r="AQ83" i="1" s="1"/>
  <c r="R86" i="1"/>
  <c r="Q87" i="1"/>
  <c r="AS83" i="1" l="1"/>
  <c r="AT83" i="1"/>
  <c r="AV83" i="1"/>
  <c r="AU83" i="1" s="1"/>
  <c r="X84" i="1"/>
  <c r="AR84" i="1" s="1"/>
  <c r="U84" i="1"/>
  <c r="AQ84" i="1" s="1"/>
  <c r="R87" i="1"/>
  <c r="Q88" i="1"/>
  <c r="AS84" i="1" l="1"/>
  <c r="AT84" i="1"/>
  <c r="AV84" i="1"/>
  <c r="AU84" i="1" s="1"/>
  <c r="X85" i="1"/>
  <c r="AR85" i="1" s="1"/>
  <c r="U85" i="1"/>
  <c r="AQ85" i="1" s="1"/>
  <c r="R88" i="1"/>
  <c r="Q89" i="1"/>
  <c r="AS85" i="1" l="1"/>
  <c r="AT85" i="1"/>
  <c r="AV85" i="1"/>
  <c r="AU85" i="1" s="1"/>
  <c r="X86" i="1"/>
  <c r="AR86" i="1" s="1"/>
  <c r="U86" i="1"/>
  <c r="AQ86" i="1" s="1"/>
  <c r="R89" i="1"/>
  <c r="Q90" i="1"/>
  <c r="AS86" i="1" l="1"/>
  <c r="AT86" i="1"/>
  <c r="AV86" i="1"/>
  <c r="AU86" i="1" s="1"/>
  <c r="X87" i="1"/>
  <c r="AR87" i="1" s="1"/>
  <c r="U87" i="1"/>
  <c r="AQ87" i="1" s="1"/>
  <c r="R90" i="1"/>
  <c r="Q91" i="1"/>
  <c r="AS87" i="1" l="1"/>
  <c r="AT87" i="1"/>
  <c r="AV87" i="1"/>
  <c r="AU87" i="1" s="1"/>
  <c r="X88" i="1"/>
  <c r="AR88" i="1" s="1"/>
  <c r="U88" i="1"/>
  <c r="AQ88" i="1" s="1"/>
  <c r="R91" i="1"/>
  <c r="Q92" i="1"/>
  <c r="AS88" i="1" l="1"/>
  <c r="AT88" i="1"/>
  <c r="AV88" i="1"/>
  <c r="AU88" i="1" s="1"/>
  <c r="X89" i="1"/>
  <c r="AR89" i="1" s="1"/>
  <c r="U89" i="1"/>
  <c r="AQ89" i="1" s="1"/>
  <c r="Q93" i="1"/>
  <c r="R92" i="1"/>
  <c r="Q94" i="1"/>
  <c r="AS89" i="1" l="1"/>
  <c r="AT89" i="1"/>
  <c r="AV89" i="1"/>
  <c r="AU89" i="1" s="1"/>
  <c r="X90" i="1"/>
  <c r="AR90" i="1" s="1"/>
  <c r="U90" i="1"/>
  <c r="AQ90" i="1" s="1"/>
  <c r="AS90" i="1" s="1"/>
  <c r="R93" i="1"/>
  <c r="Q95" i="1"/>
  <c r="AT90" i="1" l="1"/>
  <c r="AV90" i="1"/>
  <c r="AU90" i="1" s="1"/>
  <c r="X91" i="1"/>
  <c r="AR91" i="1" s="1"/>
  <c r="U91" i="1"/>
  <c r="AQ91" i="1" s="1"/>
  <c r="R94" i="1"/>
  <c r="Q96" i="1"/>
  <c r="AS91" i="1" l="1"/>
  <c r="AT91" i="1"/>
  <c r="AV91" i="1"/>
  <c r="AU91" i="1" s="1"/>
  <c r="X92" i="1"/>
  <c r="U92" i="1"/>
  <c r="R95" i="1"/>
  <c r="Q97" i="1"/>
  <c r="AQ92" i="1" l="1"/>
  <c r="CA92" i="1"/>
  <c r="CB92" i="1" s="1"/>
  <c r="AR92" i="1"/>
  <c r="CC92" i="1"/>
  <c r="CD92" i="1" s="1"/>
  <c r="AV92" i="1"/>
  <c r="AU92" i="1" s="1"/>
  <c r="X93" i="1"/>
  <c r="AR93" i="1" s="1"/>
  <c r="U93" i="1"/>
  <c r="AQ93" i="1" s="1"/>
  <c r="R96" i="1"/>
  <c r="Q98" i="1"/>
  <c r="AS93" i="1" l="1"/>
  <c r="AT93" i="1"/>
  <c r="AS92" i="1"/>
  <c r="BX92" i="1"/>
  <c r="AT92" i="1"/>
  <c r="AV93" i="1"/>
  <c r="AU93" i="1" s="1"/>
  <c r="X94" i="1"/>
  <c r="AR94" i="1" s="1"/>
  <c r="U94" i="1"/>
  <c r="AQ94" i="1" s="1"/>
  <c r="R97" i="1"/>
  <c r="Q99" i="1"/>
  <c r="AS94" i="1" l="1"/>
  <c r="AT94" i="1"/>
  <c r="AV94" i="1"/>
  <c r="AU94" i="1" s="1"/>
  <c r="X95" i="1"/>
  <c r="AR95" i="1" s="1"/>
  <c r="U95" i="1"/>
  <c r="AQ95" i="1" s="1"/>
  <c r="AS95" i="1" s="1"/>
  <c r="R98" i="1"/>
  <c r="Q100" i="1"/>
  <c r="AT95" i="1" l="1"/>
  <c r="AV95" i="1"/>
  <c r="AU95" i="1" s="1"/>
  <c r="X96" i="1"/>
  <c r="AR96" i="1" s="1"/>
  <c r="U96" i="1"/>
  <c r="AQ96" i="1" s="1"/>
  <c r="R99" i="1"/>
  <c r="Q101" i="1"/>
  <c r="AS96" i="1" l="1"/>
  <c r="AT96" i="1"/>
  <c r="AV96" i="1"/>
  <c r="AU96" i="1" s="1"/>
  <c r="X97" i="1"/>
  <c r="AR97" i="1" s="1"/>
  <c r="U97" i="1"/>
  <c r="AQ97" i="1" s="1"/>
  <c r="R100" i="1"/>
  <c r="Q102" i="1"/>
  <c r="AS97" i="1" l="1"/>
  <c r="AT97" i="1"/>
  <c r="AV97" i="1"/>
  <c r="AU97" i="1" s="1"/>
  <c r="X98" i="1"/>
  <c r="AR98" i="1" s="1"/>
  <c r="U98" i="1"/>
  <c r="AQ98" i="1" s="1"/>
  <c r="R101" i="1"/>
  <c r="Q103" i="1"/>
  <c r="AS98" i="1" l="1"/>
  <c r="AT98" i="1"/>
  <c r="AV98" i="1"/>
  <c r="AU98" i="1" s="1"/>
  <c r="X99" i="1"/>
  <c r="AR99" i="1" s="1"/>
  <c r="U99" i="1"/>
  <c r="AQ99" i="1" s="1"/>
  <c r="AS99" i="1" s="1"/>
  <c r="R102" i="1"/>
  <c r="Q104" i="1"/>
  <c r="AT99" i="1" l="1"/>
  <c r="AV99" i="1"/>
  <c r="AU99" i="1" s="1"/>
  <c r="X100" i="1"/>
  <c r="AR100" i="1" s="1"/>
  <c r="U100" i="1"/>
  <c r="AQ100" i="1" s="1"/>
  <c r="R103" i="1"/>
  <c r="Q105" i="1"/>
  <c r="AS100" i="1" l="1"/>
  <c r="AT100" i="1"/>
  <c r="AV100" i="1"/>
  <c r="AU100" i="1" s="1"/>
  <c r="X101" i="1"/>
  <c r="AR101" i="1" s="1"/>
  <c r="U101" i="1"/>
  <c r="AQ101" i="1" s="1"/>
  <c r="R104" i="1"/>
  <c r="Q106" i="1"/>
  <c r="AS101" i="1" l="1"/>
  <c r="AT101" i="1"/>
  <c r="AV101" i="1"/>
  <c r="AU101" i="1" s="1"/>
  <c r="X102" i="1"/>
  <c r="AR102" i="1" s="1"/>
  <c r="U102" i="1"/>
  <c r="AQ102" i="1" s="1"/>
  <c r="AS102" i="1" s="1"/>
  <c r="R105" i="1"/>
  <c r="Q107" i="1"/>
  <c r="AT102" i="1" l="1"/>
  <c r="AV102" i="1"/>
  <c r="AU102" i="1" s="1"/>
  <c r="X103" i="1"/>
  <c r="AR103" i="1" s="1"/>
  <c r="U103" i="1"/>
  <c r="AQ103" i="1" s="1"/>
  <c r="R106" i="1"/>
  <c r="R120" i="1" s="1"/>
  <c r="Q108" i="1"/>
  <c r="AS103" i="1" l="1"/>
  <c r="AT103" i="1"/>
  <c r="AV103" i="1"/>
  <c r="AU103" i="1" s="1"/>
  <c r="X104" i="1"/>
  <c r="AR104" i="1" s="1"/>
  <c r="U104" i="1"/>
  <c r="AQ104" i="1" s="1"/>
  <c r="R3" i="1"/>
  <c r="Q5" i="1" s="1"/>
  <c r="Q109" i="1"/>
  <c r="AS104" i="1" l="1"/>
  <c r="AT104" i="1"/>
  <c r="AV104" i="1"/>
  <c r="AU104" i="1" s="1"/>
  <c r="X105" i="1"/>
  <c r="AR105" i="1" s="1"/>
  <c r="U105" i="1"/>
  <c r="AQ105" i="1" s="1"/>
  <c r="AS105" i="1" s="1"/>
  <c r="Q110" i="1"/>
  <c r="AT105" i="1" l="1"/>
  <c r="AV105" i="1"/>
  <c r="AU105" i="1" s="1"/>
  <c r="X106" i="1"/>
  <c r="AR106" i="1" s="1"/>
  <c r="U106" i="1"/>
  <c r="AQ106" i="1" s="1"/>
  <c r="Q111" i="1"/>
  <c r="AS106" i="1" l="1"/>
  <c r="AT106" i="1"/>
  <c r="AV106" i="1"/>
  <c r="AU106" i="1" s="1"/>
  <c r="X107" i="1"/>
  <c r="AR107" i="1" s="1"/>
  <c r="U107" i="1"/>
  <c r="AQ107" i="1" s="1"/>
  <c r="Q112" i="1"/>
  <c r="AS107" i="1" l="1"/>
  <c r="AT107" i="1"/>
  <c r="AV107" i="1"/>
  <c r="AU107" i="1" s="1"/>
  <c r="X108" i="1"/>
  <c r="AR108" i="1" s="1"/>
  <c r="U108" i="1"/>
  <c r="AQ108" i="1" s="1"/>
  <c r="Q113" i="1"/>
  <c r="AS108" i="1" l="1"/>
  <c r="AT108" i="1"/>
  <c r="AV108" i="1"/>
  <c r="AU108" i="1" s="1"/>
  <c r="X109" i="1"/>
  <c r="AR109" i="1" s="1"/>
  <c r="U109" i="1"/>
  <c r="AQ109" i="1" s="1"/>
  <c r="Q114" i="1"/>
  <c r="AS109" i="1" l="1"/>
  <c r="AT109" i="1"/>
  <c r="AV109" i="1"/>
  <c r="AU109" i="1" s="1"/>
  <c r="X110" i="1"/>
  <c r="AR110" i="1" s="1"/>
  <c r="U110" i="1"/>
  <c r="AQ110" i="1" s="1"/>
  <c r="Q115" i="1"/>
  <c r="AS110" i="1" l="1"/>
  <c r="AT110" i="1"/>
  <c r="AV110" i="1"/>
  <c r="AU110" i="1" s="1"/>
  <c r="X111" i="1"/>
  <c r="AR111" i="1" s="1"/>
  <c r="U111" i="1"/>
  <c r="AQ111" i="1" s="1"/>
  <c r="Q116" i="1"/>
  <c r="AS111" i="1" l="1"/>
  <c r="AT111" i="1"/>
  <c r="AV111" i="1"/>
  <c r="AU111" i="1" s="1"/>
  <c r="X112" i="1"/>
  <c r="AR112" i="1" s="1"/>
  <c r="U112" i="1"/>
  <c r="AQ112" i="1" s="1"/>
  <c r="Q117" i="1"/>
  <c r="AS112" i="1" l="1"/>
  <c r="AT112" i="1"/>
  <c r="AV112" i="1"/>
  <c r="AU112" i="1" s="1"/>
  <c r="X113" i="1"/>
  <c r="AR113" i="1" s="1"/>
  <c r="U113" i="1"/>
  <c r="AQ113" i="1" s="1"/>
  <c r="Q118" i="1"/>
  <c r="AS113" i="1" l="1"/>
  <c r="AT113" i="1"/>
  <c r="AV113" i="1"/>
  <c r="AU113" i="1" s="1"/>
  <c r="X114" i="1"/>
  <c r="AR114" i="1" s="1"/>
  <c r="U114" i="1"/>
  <c r="AQ114" i="1" s="1"/>
  <c r="Q119" i="1"/>
  <c r="Q120" i="1" s="1"/>
  <c r="AS114" i="1" l="1"/>
  <c r="AT114" i="1"/>
  <c r="AV114" i="1"/>
  <c r="AU114" i="1" s="1"/>
  <c r="X115" i="1"/>
  <c r="AR115" i="1" s="1"/>
  <c r="U115" i="1"/>
  <c r="AQ115" i="1" s="1"/>
  <c r="R2" i="1"/>
  <c r="Q4" i="1" s="1"/>
  <c r="AS115" i="1" l="1"/>
  <c r="AT115" i="1"/>
  <c r="AV115" i="1"/>
  <c r="AU115" i="1" s="1"/>
  <c r="X116" i="1"/>
  <c r="AR116" i="1" s="1"/>
  <c r="U116" i="1"/>
  <c r="AQ116" i="1" s="1"/>
  <c r="AS116" i="1" l="1"/>
  <c r="AT116" i="1"/>
  <c r="AV116" i="1"/>
  <c r="AU116" i="1" s="1"/>
  <c r="X117" i="1"/>
  <c r="AR117" i="1" s="1"/>
  <c r="U117" i="1"/>
  <c r="AQ117" i="1" s="1"/>
  <c r="AG3" i="1"/>
  <c r="AF5" i="1" s="1"/>
  <c r="AS117" i="1" l="1"/>
  <c r="AT117" i="1"/>
  <c r="AV117" i="1"/>
  <c r="AU117" i="1" s="1"/>
  <c r="X118" i="1"/>
  <c r="AR118" i="1" s="1"/>
  <c r="U118" i="1"/>
  <c r="AQ118" i="1" s="1"/>
  <c r="AS118" i="1" s="1"/>
  <c r="AT118" i="1" l="1"/>
  <c r="AV118" i="1"/>
  <c r="AU118" i="1" s="1"/>
  <c r="X119" i="1"/>
  <c r="AR119" i="1" s="1"/>
  <c r="U119" i="1"/>
  <c r="AQ119" i="1" s="1"/>
  <c r="AS119" i="1" l="1"/>
  <c r="AT119" i="1"/>
  <c r="AV119" i="1"/>
  <c r="AU119" i="1" s="1"/>
  <c r="X120" i="1"/>
  <c r="U120" i="1"/>
  <c r="AQ120" i="1" l="1"/>
  <c r="CA120" i="1"/>
  <c r="AR120" i="1"/>
  <c r="CC120" i="1"/>
  <c r="CD120" i="1" s="1"/>
  <c r="AV120" i="1"/>
  <c r="AU120" i="1" s="1"/>
  <c r="W2" i="1"/>
  <c r="T2" i="1"/>
  <c r="AS120" i="1" l="1"/>
  <c r="BX120" i="1"/>
  <c r="AT120" i="1"/>
  <c r="CB120" i="1"/>
  <c r="T4" i="1"/>
  <c r="G2" i="1" l="1"/>
  <c r="I44" i="2" s="1"/>
  <c r="H44" i="2" s="1"/>
  <c r="G3" i="1" l="1"/>
  <c r="I46" i="2" s="1"/>
  <c r="H46" i="2" s="1"/>
  <c r="G4" i="1" l="1"/>
  <c r="I48" i="2" s="1"/>
  <c r="H48" i="2" s="1"/>
  <c r="G5" i="1" l="1"/>
  <c r="I50" i="2" l="1"/>
  <c r="H50" i="2" s="1"/>
  <c r="G6" i="1"/>
  <c r="I52" i="2" s="1"/>
  <c r="H52" i="2" s="1"/>
</calcChain>
</file>

<file path=xl/sharedStrings.xml><?xml version="1.0" encoding="utf-8"?>
<sst xmlns="http://schemas.openxmlformats.org/spreadsheetml/2006/main" count="210" uniqueCount="183">
  <si>
    <t>For summary data</t>
  </si>
  <si>
    <t>Flip Flop</t>
  </si>
  <si>
    <t>Fail</t>
  </si>
  <si>
    <t>Pass</t>
  </si>
  <si>
    <t>Pass fail marker</t>
  </si>
  <si>
    <t>SC_concern</t>
  </si>
  <si>
    <t>Sc_imp</t>
  </si>
  <si>
    <t>Special cause markers</t>
  </si>
  <si>
    <t>CC</t>
  </si>
  <si>
    <t>special cause Improvement</t>
  </si>
  <si>
    <t>special cause concern</t>
  </si>
  <si>
    <t>Plot seriesLow</t>
  </si>
  <si>
    <t>Plot series High</t>
  </si>
  <si>
    <t>Target</t>
  </si>
  <si>
    <t>2 out of 3 high</t>
  </si>
  <si>
    <t>2 out of 3 low</t>
  </si>
  <si>
    <t>Trend Down</t>
  </si>
  <si>
    <t>Trend up</t>
  </si>
  <si>
    <t>7 points &lt; mean</t>
  </si>
  <si>
    <t>7 points &gt; mean</t>
  </si>
  <si>
    <t>Count</t>
  </si>
  <si>
    <t>3 sigma</t>
  </si>
  <si>
    <t>sigma</t>
  </si>
  <si>
    <t>LCL</t>
  </si>
  <si>
    <t>UCL</t>
  </si>
  <si>
    <t>Mean</t>
  </si>
  <si>
    <t>Cohort</t>
  </si>
  <si>
    <t>Tally</t>
  </si>
  <si>
    <t>Date</t>
  </si>
  <si>
    <t>Pass Fail</t>
  </si>
  <si>
    <t>Low good</t>
  </si>
  <si>
    <t>High Good</t>
  </si>
  <si>
    <t>Weekday</t>
  </si>
  <si>
    <t xml:space="preserve">&lt; 3 </t>
  </si>
  <si>
    <t>&gt; 3</t>
  </si>
  <si>
    <t>Sigma</t>
  </si>
  <si>
    <t>Annotation</t>
  </si>
  <si>
    <t>2 of 3</t>
  </si>
  <si>
    <t>position</t>
  </si>
  <si>
    <t>Rule 4</t>
  </si>
  <si>
    <t>mR</t>
  </si>
  <si>
    <t>Trend</t>
  </si>
  <si>
    <t>Shift</t>
  </si>
  <si>
    <t>Single point</t>
  </si>
  <si>
    <t>Total observed</t>
  </si>
  <si>
    <t>ICONS</t>
  </si>
  <si>
    <t>Intervention5</t>
  </si>
  <si>
    <t>Intervention4</t>
  </si>
  <si>
    <t>Intervention3</t>
  </si>
  <si>
    <t>Intervention2</t>
  </si>
  <si>
    <t>Intervention1</t>
  </si>
  <si>
    <t>Total cohort</t>
  </si>
  <si>
    <t>Proportion</t>
  </si>
  <si>
    <t>how many below</t>
  </si>
  <si>
    <t>Rows of data</t>
  </si>
  <si>
    <t>No</t>
  </si>
  <si>
    <t>how many points</t>
  </si>
  <si>
    <t>how many above</t>
  </si>
  <si>
    <t>correction</t>
  </si>
  <si>
    <t>Yes</t>
  </si>
  <si>
    <t>Points outside Mean+-Sigma</t>
  </si>
  <si>
    <t>Points above #Moving Range</t>
  </si>
  <si>
    <t>Runs Below mean</t>
  </si>
  <si>
    <t>Runs above mean</t>
  </si>
  <si>
    <t>Points &gt;&lt;3 sigma</t>
  </si>
  <si>
    <t>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t>
  </si>
  <si>
    <t>Please note annotation rotation macro may not work in earlier versions of excel. To rotate annotations unlock tool "SPC" and rotate manually</t>
  </si>
  <si>
    <t>Change annotation orientation</t>
  </si>
  <si>
    <t>Horizontal</t>
  </si>
  <si>
    <t>Annotation orientation</t>
  </si>
  <si>
    <t>Turn off annotation</t>
  </si>
  <si>
    <t xml:space="preserve">Mean observation - </t>
  </si>
  <si>
    <t>Data observations</t>
  </si>
  <si>
    <t>Summary statistics</t>
  </si>
  <si>
    <t>dd/mm/yy</t>
  </si>
  <si>
    <t>date format</t>
  </si>
  <si>
    <t>max value</t>
  </si>
  <si>
    <t>min value</t>
  </si>
  <si>
    <r>
      <t xml:space="preserve">Interventions annotation date
</t>
    </r>
    <r>
      <rPr>
        <sz val="11"/>
        <color theme="1"/>
        <rFont val="Arial"/>
        <family val="2"/>
      </rPr>
      <t>enter a date and select comment</t>
    </r>
  </si>
  <si>
    <t>Set vertical axis</t>
  </si>
  <si>
    <t>cohort</t>
  </si>
  <si>
    <t>Quarters</t>
  </si>
  <si>
    <t>(days, weeks, months)</t>
  </si>
  <si>
    <t>Low is good</t>
  </si>
  <si>
    <t>What does improvement look like?</t>
  </si>
  <si>
    <t>Neither</t>
  </si>
  <si>
    <t>Percentage</t>
  </si>
  <si>
    <t>Months</t>
  </si>
  <si>
    <t>Planned duration</t>
  </si>
  <si>
    <t>Your measure</t>
  </si>
  <si>
    <t>mmm yy</t>
  </si>
  <si>
    <t>Decimal</t>
  </si>
  <si>
    <t>Weeks</t>
  </si>
  <si>
    <t>Start date</t>
  </si>
  <si>
    <t>Team/unit name</t>
  </si>
  <si>
    <t>High is good</t>
  </si>
  <si>
    <t xml:space="preserve">Vertical </t>
  </si>
  <si>
    <t>Integer</t>
  </si>
  <si>
    <t>Days</t>
  </si>
  <si>
    <t>Chart title</t>
  </si>
  <si>
    <t>Target if available</t>
  </si>
  <si>
    <t>Instructions</t>
  </si>
  <si>
    <t>Set-up</t>
  </si>
  <si>
    <t>1)</t>
  </si>
  <si>
    <r>
      <t xml:space="preserve">Save your file using the </t>
    </r>
    <r>
      <rPr>
        <b/>
        <sz val="18"/>
        <color theme="1"/>
        <rFont val="Arial"/>
        <family val="2"/>
      </rPr>
      <t>save as</t>
    </r>
    <r>
      <rPr>
        <sz val="12"/>
        <color theme="1"/>
        <rFont val="Arial"/>
        <family val="2"/>
      </rPr>
      <t xml:space="preserve"> function under the file tab on your computer.</t>
    </r>
  </si>
  <si>
    <t>2)</t>
  </si>
  <si>
    <t>Enter your Chart Tilte.</t>
  </si>
  <si>
    <t>3)</t>
  </si>
  <si>
    <t>Enter your team's or unit's name.</t>
  </si>
  <si>
    <t>4)</t>
  </si>
  <si>
    <t>Enter what you are measuring (patients, falls, etc).</t>
  </si>
  <si>
    <t>5)</t>
  </si>
  <si>
    <t>Enter the start date.</t>
  </si>
  <si>
    <t>6)</t>
  </si>
  <si>
    <t>Choose days, weeks or months for your data frequency</t>
  </si>
  <si>
    <t>7)</t>
  </si>
  <si>
    <t>Choose the duration of your project in days weeks or months.</t>
  </si>
  <si>
    <t>8)</t>
  </si>
  <si>
    <t xml:space="preserve">You can change the date format of the horizontal axis from dd/mm/yy to mm yy . </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</si>
  <si>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</si>
  <si>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9)</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</si>
  <si>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</si>
  <si>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</si>
  <si>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Entering data</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</si>
  <si>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</si>
  <si>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</si>
  <si>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</si>
  <si>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An SPC chart is a plot of data over time. It allows you to distinguish between common and special cause</t>
  </si>
  <si>
    <t>variation. It includes a mean and two process limits which are both used in the statistical interpretation of data.</t>
  </si>
  <si>
    <t xml:space="preserve">To help you interpret the data a number of rules can be applied. </t>
  </si>
  <si>
    <t>The rules</t>
  </si>
  <si>
    <t>Any single point  outside the process limits.</t>
  </si>
  <si>
    <t xml:space="preserve">2) </t>
  </si>
  <si>
    <t xml:space="preserve">A run of 7 points above or below the mean (a  shift), or a run of 7 points all consecutively ascending </t>
  </si>
  <si>
    <t>or descending (a trend).</t>
  </si>
  <si>
    <t xml:space="preserve">3) </t>
  </si>
  <si>
    <t xml:space="preserve">2 out of 3 points within 1 sigam of the upper or lower control limit </t>
  </si>
  <si>
    <t xml:space="preserve">4) </t>
  </si>
  <si>
    <t>A large change in the moving range (greater that 3.27 * av moving range)</t>
  </si>
  <si>
    <t xml:space="preserve">All these rules are aids to interpretation but still require intelligent examination of the data. </t>
  </si>
  <si>
    <t>This tool highlights when a rule has been broken and highlights whether this is improvement or deterioration</t>
  </si>
  <si>
    <t>If you change in your process and observe a persistent shift in your data, it may be appropriate to change the</t>
  </si>
  <si>
    <t>process limits.  A process limit change can be added if the observed change is sustained for a longer period not just</t>
  </si>
  <si>
    <t xml:space="preserve">7 points. You should try and find out the cause of the process change before recalculating the limits and annotate this </t>
  </si>
  <si>
    <t>on the chart. Be very cautions if you do not know what changed the process.</t>
  </si>
  <si>
    <r>
      <t xml:space="preserve">Recalculate
</t>
    </r>
    <r>
      <rPr>
        <sz val="11"/>
        <color theme="1"/>
        <rFont val="Arial"/>
        <family val="2"/>
      </rPr>
      <t>enter a date and select comment</t>
    </r>
  </si>
  <si>
    <t>Recalculate limits</t>
  </si>
  <si>
    <t>Step marker</t>
  </si>
  <si>
    <t>Recalculate 1</t>
  </si>
  <si>
    <t>Recalculate 2</t>
  </si>
  <si>
    <t>Recalculate 3</t>
  </si>
  <si>
    <t>Recalculate 4</t>
  </si>
  <si>
    <t>Measure</t>
  </si>
  <si>
    <t>P'</t>
  </si>
  <si>
    <t>P'  mR</t>
  </si>
  <si>
    <t>P'
sigma</t>
  </si>
  <si>
    <t>Change to P'</t>
  </si>
  <si>
    <t>10)</t>
  </si>
  <si>
    <t>You can choose to display a P chart or a P' chart by selecting the appropriate button.</t>
  </si>
  <si>
    <t>Update comments</t>
  </si>
  <si>
    <t>v1.0</t>
  </si>
  <si>
    <t>v2.0</t>
  </si>
  <si>
    <t>v3.0</t>
  </si>
  <si>
    <t>SPC p chart tool</t>
  </si>
  <si>
    <t>Direction</t>
  </si>
  <si>
    <t>Special cause up</t>
  </si>
  <si>
    <t>Neither_UP</t>
  </si>
  <si>
    <t>Special cause down</t>
  </si>
  <si>
    <t>Neither_DOWN</t>
  </si>
  <si>
    <t>special cause neither</t>
  </si>
  <si>
    <t>Special cuase flag</t>
  </si>
  <si>
    <t>Summary icon key</t>
  </si>
  <si>
    <r>
      <rPr>
        <b/>
        <sz val="10"/>
        <color theme="1"/>
        <rFont val="Arial"/>
        <family val="2"/>
      </rPr>
      <t xml:space="preserve">For queries and feedback, please </t>
    </r>
    <r>
      <rPr>
        <b/>
        <sz val="10"/>
        <rFont val="Arial"/>
        <family val="2"/>
      </rPr>
      <t>email</t>
    </r>
    <r>
      <rPr>
        <b/>
        <sz val="10"/>
        <color rgb="FF0070C0"/>
        <rFont val="Arial"/>
        <family val="2"/>
      </rPr>
      <t xml:space="preserve"> </t>
    </r>
    <r>
      <rPr>
        <b/>
        <u/>
        <sz val="10"/>
        <color rgb="FF0070C0"/>
        <rFont val="Arial"/>
        <family val="2"/>
      </rPr>
      <t>nhsi.improvementanalyticsteam@nhs.net</t>
    </r>
    <r>
      <rPr>
        <b/>
        <sz val="10"/>
        <color theme="1"/>
        <rFont val="Arial"/>
        <family val="2"/>
      </rPr>
      <t xml:space="preserve"> and quote the name and version number</t>
    </r>
  </si>
  <si>
    <t>Version</t>
  </si>
  <si>
    <r>
      <rPr>
        <b/>
        <sz val="11"/>
        <color theme="1"/>
        <rFont val="Calibri"/>
        <family val="2"/>
        <scheme val="minor"/>
      </rPr>
      <t xml:space="preserve">*NEW FUNCTIONS ADDED*
</t>
    </r>
    <r>
      <rPr>
        <sz val="11"/>
        <color theme="1"/>
        <rFont val="Calibri"/>
        <family val="2"/>
        <scheme val="minor"/>
      </rPr>
      <t>- Added neither direction purple icon to chart
- Added neither direction purple markers to chart</t>
    </r>
  </si>
  <si>
    <t>- Formatting updated</t>
  </si>
  <si>
    <t>P chart SPC tool: versions</t>
  </si>
  <si>
    <t>Original versions of p chart tool</t>
  </si>
  <si>
    <t>NGS</t>
  </si>
  <si>
    <t>Out of Total</t>
  </si>
  <si>
    <t>Week Commencing</t>
  </si>
  <si>
    <t>OM1: % of TaTs within TaT target</t>
  </si>
  <si>
    <t>within 7-Working-Days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</si>
</sst>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
    <numFmt numFmtId="165" formatCode="0.0%"/>
    <numFmt numFmtId="166" formatCode="mmm\ yy"/>
    <numFmt numFmtId="167" formatCode="0.000"/>
    <numFmt numFmtId="168" formatCode="0.0000"/>
    <numFmt numFmtId="169" formatCode="yyyy"/>
  </numFmts>
  <fonts count="34" x14ac:knownFonts="1">
    <font>
      <sz val="11"/>
      <color theme="1"/>
      <name val="Calibri"/>
      <family val="2"/>
      <scheme val="minor"/>
    </font>
    <font>
      <b/>
      <sz val="11"/>
      <color theme="1"/>
      <name val="Calibri"/>
      <family val="2"/>
      <scheme val="minor"/>
    </font>
    <font>
      <sz val="18"/>
      <color theme="1"/>
      <name val="Calibri"/>
      <family val="2"/>
    </font>
    <font>
      <sz val="11"/>
      <color theme="1"/>
      <name val="Arial"/>
      <family val="2"/>
    </font>
    <font>
      <sz val="8"/>
      <color theme="1"/>
      <name val="Arial"/>
      <family val="2"/>
    </font>
    <font>
      <b/>
      <sz val="12"/>
      <color theme="1"/>
      <name val="Arial"/>
      <family val="2"/>
    </font>
    <font>
      <sz val="12"/>
      <color theme="1"/>
      <name val="Arial"/>
      <family val="2"/>
    </font>
    <font>
      <sz val="10"/>
      <color rgb="FFFF0000"/>
      <name val="Arial"/>
      <family val="2"/>
    </font>
    <font>
      <sz val="10"/>
      <color theme="1"/>
      <name val="Arial"/>
      <family val="2"/>
    </font>
    <font>
      <b/>
      <sz val="10"/>
      <color theme="1"/>
      <name val="Arial"/>
      <family val="2"/>
    </font>
    <font>
      <b/>
      <sz val="11"/>
      <color theme="1"/>
      <name val="Arial"/>
      <family val="2"/>
    </font>
    <font>
      <sz val="9"/>
      <color theme="1"/>
      <name val="Arial"/>
      <family val="2"/>
    </font>
    <font>
      <b/>
      <sz val="16"/>
      <color theme="1"/>
      <name val="Arial"/>
      <family val="2"/>
    </font>
    <font>
      <sz val="14"/>
      <color theme="1"/>
      <name val="Arial"/>
      <family val="2"/>
    </font>
    <font>
      <sz val="16"/>
      <color theme="1"/>
      <name val="Arial"/>
      <family val="2"/>
    </font>
    <font>
      <sz val="13"/>
      <color theme="1"/>
      <name val="Arial"/>
      <family val="2"/>
    </font>
    <font>
      <sz val="9"/>
      <color rgb="FFFF0000"/>
      <name val="Arial"/>
      <family val="2"/>
    </font>
    <font>
      <sz val="11"/>
      <color theme="0"/>
      <name val="Arial"/>
      <family val="2"/>
    </font>
    <font>
      <b/>
      <sz val="24"/>
      <color theme="0"/>
      <name val="Arial"/>
      <family val="2"/>
    </font>
    <font>
      <sz val="8"/>
      <color theme="1"/>
      <name val="Calibri"/>
      <family val="2"/>
      <scheme val="minor"/>
    </font>
    <font>
      <b/>
      <sz val="18"/>
      <color theme="1"/>
      <name val="Arial"/>
      <family val="2"/>
    </font>
    <font>
      <sz val="11"/>
      <color rgb="FF1F497D"/>
      <name val="Calibri"/>
      <family val="2"/>
      <scheme val="minor"/>
    </font>
    <font>
      <sz val="8"/>
      <name val="Calibri"/>
      <family val="2"/>
      <scheme val="minor"/>
    </font>
    <font>
      <sz val="16"/>
      <color theme="0"/>
      <name val="Arial"/>
      <family val="2"/>
    </font>
    <font>
      <sz val="9"/>
      <name val="Arial"/>
      <family val="2"/>
    </font>
    <font>
      <b/>
      <sz val="11"/>
      <color theme="5"/>
      <name val="Arial"/>
      <family val="2"/>
    </font>
    <font>
      <b/>
      <sz val="11"/>
      <color rgb="FF0070C0"/>
      <name val="Calibri"/>
      <family val="2"/>
      <scheme val="minor"/>
    </font>
    <font>
      <b/>
      <sz val="12"/>
      <color theme="0"/>
      <name val="Arial"/>
      <family val="2"/>
    </font>
    <font>
      <sz val="12"/>
      <color theme="0"/>
      <name val="Arial"/>
      <family val="2"/>
    </font>
    <font>
      <b/>
      <sz val="10"/>
      <color rgb="FF0070C0"/>
      <name val="Arial"/>
      <family val="2"/>
    </font>
    <font>
      <b/>
      <sz val="10"/>
      <color theme="5"/>
      <name val="Arial"/>
      <family val="2"/>
    </font>
    <font>
      <sz val="24"/>
      <color rgb="FF0070C0"/>
      <name val="Calibri"/>
      <family val="2"/>
      <scheme val="minor"/>
    </font>
    <font>
      <b/>
      <sz val="10"/>
      <name val="Arial"/>
      <family val="2"/>
    </font>
    <font>
      <b/>
      <u/>
      <sz val="10"/>
      <color rgb="FF0070C0"/>
      <name val="Arial"/>
      <family val="2"/>
    </font>
  </fonts>
  <fills count="15">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005EB8"/>
        <bgColor indexed="64"/>
      </patternFill>
    </fill>
    <fill>
      <patternFill patternType="solid">
        <fgColor rgb="FF0070C0"/>
        <bgColor indexed="64"/>
      </patternFill>
    </fill>
    <fill>
      <patternFill patternType="solid">
        <fgColor rgb="FF002060"/>
        <bgColor indexed="64"/>
      </patternFill>
    </fill>
    <fill>
      <patternFill patternType="solid">
        <fgColor rgb="FFCA06CA"/>
        <bgColor indexed="64"/>
      </patternFill>
    </fill>
    <fill>
      <patternFill patternType="solid">
        <fgColor rgb="FF41B6E6"/>
        <bgColor indexed="64"/>
      </patternFill>
    </fill>
    <fill>
      <patternFill patternType="solid">
        <fgColor rgb="FFFFC000"/>
        <bgColor indexed="64"/>
      </patternFill>
    </fill>
  </fills>
  <borders count="100">
    <border>
      <left/>
      <right/>
      <top/>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theme="1" tint="0.34998626667073579"/>
      </left>
      <right style="medium">
        <color indexed="64"/>
      </right>
      <top/>
      <bottom style="medium">
        <color indexed="64"/>
      </bottom>
      <diagonal/>
    </border>
    <border>
      <left/>
      <right style="thin">
        <color theme="1" tint="0.34998626667073579"/>
      </right>
      <top/>
      <bottom style="medium">
        <color indexed="64"/>
      </bottom>
      <diagonal/>
    </border>
    <border>
      <left/>
      <right/>
      <top/>
      <bottom style="medium">
        <color indexed="64"/>
      </bottom>
      <diagonal/>
    </border>
    <border>
      <left/>
      <right style="medium">
        <color indexed="64"/>
      </right>
      <top/>
      <bottom/>
      <diagonal/>
    </border>
    <border>
      <left style="thin">
        <color theme="1" tint="0.34998626667073579"/>
      </left>
      <right style="medium">
        <color indexed="64"/>
      </right>
      <top style="medium">
        <color indexed="64"/>
      </top>
      <bottom/>
      <diagonal/>
    </border>
    <border>
      <left/>
      <right style="thin">
        <color theme="1" tint="0.34998626667073579"/>
      </right>
      <top style="medium">
        <color indexed="64"/>
      </top>
      <bottom/>
      <diagonal/>
    </border>
    <border>
      <left style="thin">
        <color theme="1" tint="0.34998626667073579"/>
      </left>
      <right style="thin">
        <color theme="1" tint="0.34998626667073579"/>
      </right>
      <top style="thin">
        <color theme="1" tint="0.34998626667073579"/>
      </top>
      <bottom style="medium">
        <color indexed="64"/>
      </bottom>
      <diagonal/>
    </border>
    <border>
      <left style="medium">
        <color indexed="64"/>
      </left>
      <right style="thin">
        <color theme="1" tint="0.34998626667073579"/>
      </right>
      <top style="thin">
        <color theme="1" tint="0.34998626667073579"/>
      </top>
      <bottom style="medium">
        <color indexed="64"/>
      </bottom>
      <diagonal/>
    </border>
    <border>
      <left style="thin">
        <color indexed="64"/>
      </left>
      <right/>
      <top style="thin">
        <color indexed="64"/>
      </top>
      <bottom style="thin">
        <color indexed="64"/>
      </bottom>
      <diagonal/>
    </border>
    <border>
      <left style="thin">
        <color theme="1" tint="0.34998626667073579"/>
      </left>
      <right style="medium">
        <color indexed="64"/>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medium">
        <color indexed="64"/>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indexed="64"/>
      </right>
      <top style="medium">
        <color indexed="64"/>
      </top>
      <bottom style="medium">
        <color indexed="64"/>
      </bottom>
      <diagonal/>
    </border>
    <border>
      <left style="thin">
        <color theme="1" tint="0.34998626667073579"/>
      </left>
      <right style="thin">
        <color theme="1" tint="0.34998626667073579"/>
      </right>
      <top style="medium">
        <color indexed="64"/>
      </top>
      <bottom style="medium">
        <color indexed="64"/>
      </bottom>
      <diagonal/>
    </border>
    <border>
      <left style="medium">
        <color indexed="64"/>
      </left>
      <right style="thin">
        <color theme="1" tint="0.34998626667073579"/>
      </right>
      <top style="medium">
        <color indexed="64"/>
      </top>
      <bottom style="medium">
        <color indexed="64"/>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theme="6"/>
      </left>
      <right style="thin">
        <color theme="6"/>
      </right>
      <top style="thin">
        <color theme="6"/>
      </top>
      <bottom style="thin">
        <color theme="6"/>
      </bottom>
      <diagonal/>
    </border>
    <border>
      <left style="thin">
        <color indexed="64"/>
      </left>
      <right/>
      <top style="thin">
        <color indexed="64"/>
      </top>
      <bottom style="medium">
        <color indexed="64"/>
      </bottom>
      <diagonal/>
    </border>
    <border>
      <left style="thin">
        <color theme="6"/>
      </left>
      <right style="thin">
        <color theme="6"/>
      </right>
      <top style="medium">
        <color indexed="64"/>
      </top>
      <bottom style="thin">
        <color theme="6"/>
      </bottom>
      <diagonal/>
    </border>
    <border>
      <left style="thin">
        <color theme="6"/>
      </left>
      <right style="medium">
        <color indexed="64"/>
      </right>
      <top style="medium">
        <color indexed="64"/>
      </top>
      <bottom style="thin">
        <color theme="6"/>
      </bottom>
      <diagonal/>
    </border>
    <border>
      <left style="thin">
        <color theme="6"/>
      </left>
      <right style="medium">
        <color indexed="64"/>
      </right>
      <top style="thin">
        <color theme="6"/>
      </top>
      <bottom style="thin">
        <color theme="6"/>
      </bottom>
      <diagonal/>
    </border>
    <border>
      <left style="thin">
        <color theme="6"/>
      </left>
      <right style="thin">
        <color theme="6"/>
      </right>
      <top style="thin">
        <color theme="6"/>
      </top>
      <bottom style="medium">
        <color indexed="64"/>
      </bottom>
      <diagonal/>
    </border>
    <border>
      <left style="thin">
        <color theme="6"/>
      </left>
      <right style="medium">
        <color indexed="64"/>
      </right>
      <top style="thin">
        <color theme="6"/>
      </top>
      <bottom style="medium">
        <color indexed="64"/>
      </bottom>
      <diagonal/>
    </border>
    <border>
      <left style="thin">
        <color indexed="64"/>
      </left>
      <right/>
      <top/>
      <bottom style="medium">
        <color indexed="64"/>
      </bottom>
      <diagonal/>
    </border>
    <border>
      <left style="medium">
        <color indexed="64"/>
      </left>
      <right style="thin">
        <color theme="1" tint="0.34998626667073579"/>
      </right>
      <top style="medium">
        <color indexed="64"/>
      </top>
      <bottom style="thin">
        <color theme="1" tint="0.34998626667073579"/>
      </bottom>
      <diagonal/>
    </border>
    <border>
      <left style="thin">
        <color theme="1" tint="0.34998626667073579"/>
      </left>
      <right style="thin">
        <color theme="1" tint="0.34998626667073579"/>
      </right>
      <top style="medium">
        <color indexed="64"/>
      </top>
      <bottom style="thin">
        <color theme="1" tint="0.34998626667073579"/>
      </bottom>
      <diagonal/>
    </border>
    <border>
      <left style="thin">
        <color theme="1" tint="0.34998626667073579"/>
      </left>
      <right style="medium">
        <color indexed="64"/>
      </right>
      <top style="medium">
        <color indexed="64"/>
      </top>
      <bottom style="thin">
        <color theme="1" tint="0.34998626667073579"/>
      </bottom>
      <diagonal/>
    </border>
    <border>
      <left style="thin">
        <color theme="1" tint="0.34998626667073579"/>
      </left>
      <right style="medium">
        <color indexed="64"/>
      </right>
      <top style="thin">
        <color theme="1" tint="0.34998626667073579"/>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6"/>
      </left>
      <right style="thin">
        <color theme="6"/>
      </right>
      <top/>
      <bottom style="thin">
        <color theme="6"/>
      </bottom>
      <diagonal/>
    </border>
    <border>
      <left style="thin">
        <color theme="6"/>
      </left>
      <right style="medium">
        <color indexed="64"/>
      </right>
      <top/>
      <bottom style="thin">
        <color theme="6"/>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theme="6"/>
      </left>
      <right style="thin">
        <color theme="6"/>
      </right>
      <top style="thin">
        <color theme="6"/>
      </top>
      <bottom/>
      <diagonal/>
    </border>
    <border>
      <left style="thin">
        <color theme="6"/>
      </left>
      <right style="medium">
        <color indexed="64"/>
      </right>
      <top style="thin">
        <color theme="6"/>
      </top>
      <bottom/>
      <diagonal/>
    </border>
    <border>
      <left style="thin">
        <color theme="6"/>
      </left>
      <right style="thin">
        <color theme="6"/>
      </right>
      <top style="medium">
        <color indexed="64"/>
      </top>
      <bottom style="medium">
        <color indexed="64"/>
      </bottom>
      <diagonal/>
    </border>
    <border>
      <left style="medium">
        <color indexed="64"/>
      </left>
      <right/>
      <top style="medium">
        <color indexed="64"/>
      </top>
      <bottom style="thin">
        <color theme="6"/>
      </bottom>
      <diagonal/>
    </border>
    <border>
      <left style="medium">
        <color indexed="64"/>
      </left>
      <right/>
      <top style="thin">
        <color theme="6"/>
      </top>
      <bottom style="thin">
        <color theme="6"/>
      </bottom>
      <diagonal/>
    </border>
    <border>
      <left style="medium">
        <color indexed="64"/>
      </left>
      <right/>
      <top style="thin">
        <color theme="6"/>
      </top>
      <bottom style="medium">
        <color indexed="64"/>
      </bottom>
      <diagonal/>
    </border>
    <border>
      <left style="medium">
        <color indexed="64"/>
      </left>
      <right/>
      <top/>
      <bottom style="thin">
        <color theme="6"/>
      </bottom>
      <diagonal/>
    </border>
    <border>
      <left style="medium">
        <color indexed="64"/>
      </left>
      <right/>
      <top style="thin">
        <color theme="6"/>
      </top>
      <bottom/>
      <diagonal/>
    </border>
    <border>
      <left/>
      <right style="thin">
        <color theme="6"/>
      </right>
      <top style="medium">
        <color indexed="64"/>
      </top>
      <bottom style="thin">
        <color theme="6"/>
      </bottom>
      <diagonal/>
    </border>
    <border>
      <left/>
      <right style="thin">
        <color theme="6"/>
      </right>
      <top style="thin">
        <color theme="6"/>
      </top>
      <bottom style="thin">
        <color theme="6"/>
      </bottom>
      <diagonal/>
    </border>
    <border>
      <left/>
      <right style="thin">
        <color theme="6"/>
      </right>
      <top style="thin">
        <color theme="6"/>
      </top>
      <bottom style="medium">
        <color indexed="64"/>
      </bottom>
      <diagonal/>
    </border>
    <border>
      <left/>
      <right style="thin">
        <color theme="6"/>
      </right>
      <top/>
      <bottom style="thin">
        <color theme="6"/>
      </bottom>
      <diagonal/>
    </border>
    <border>
      <left/>
      <right style="thin">
        <color theme="6"/>
      </right>
      <top style="thin">
        <color theme="6"/>
      </top>
      <bottom/>
      <diagonal/>
    </border>
    <border>
      <left style="thin">
        <color theme="0" tint="-0.499984740745262"/>
      </left>
      <right style="thin">
        <color theme="0" tint="-0.499984740745262"/>
      </right>
      <top style="thin">
        <color theme="0" tint="-0.499984740745262"/>
      </top>
      <bottom style="medium">
        <color theme="0" tint="-0.499984740745262"/>
      </bottom>
      <diagonal/>
    </border>
  </borders>
  <cellStyleXfs count="1">
    <xf numFmtId="0" fontId="0" fillId="0" borderId="0"/>
  </cellStyleXfs>
  <cellXfs count="306">
    <xf numFmtId="0" fontId="0" fillId="0" borderId="0" xfId="0"/>
    <xf numFmtId="0" fontId="0" fillId="2" borderId="0" xfId="0" applyFill="1"/>
    <xf numFmtId="1" fontId="0" fillId="0" borderId="0" xfId="0" applyNumberFormat="1"/>
    <xf numFmtId="2" fontId="0" fillId="0" borderId="0" xfId="0" applyNumberFormat="1"/>
    <xf numFmtId="0" fontId="0" fillId="0" borderId="1" xfId="0" applyBorder="1"/>
    <xf numFmtId="1" fontId="0" fillId="3" borderId="2" xfId="0" applyNumberFormat="1" applyFill="1" applyBorder="1"/>
    <xf numFmtId="14" fontId="0" fillId="3" borderId="3" xfId="0" applyNumberFormat="1" applyFill="1" applyBorder="1"/>
    <xf numFmtId="164" fontId="0" fillId="4" borderId="4" xfId="0" applyNumberFormat="1" applyFill="1" applyBorder="1"/>
    <xf numFmtId="0" fontId="0" fillId="4" borderId="0" xfId="0" applyFill="1"/>
    <xf numFmtId="0" fontId="0" fillId="4" borderId="4" xfId="0" applyFill="1" applyBorder="1"/>
    <xf numFmtId="164" fontId="0" fillId="4" borderId="0" xfId="0" applyNumberFormat="1" applyFill="1"/>
    <xf numFmtId="0" fontId="0" fillId="0" borderId="6" xfId="0" applyBorder="1"/>
    <xf numFmtId="14" fontId="0" fillId="0" borderId="7" xfId="0" applyNumberFormat="1" applyBorder="1"/>
    <xf numFmtId="0" fontId="0" fillId="0" borderId="3" xfId="0" applyBorder="1"/>
    <xf numFmtId="14" fontId="0" fillId="3" borderId="8" xfId="0" applyNumberFormat="1" applyFill="1" applyBorder="1"/>
    <xf numFmtId="14" fontId="0" fillId="0" borderId="1" xfId="0" applyNumberFormat="1" applyBorder="1"/>
    <xf numFmtId="0" fontId="0" fillId="0" borderId="8" xfId="0" applyBorder="1"/>
    <xf numFmtId="14" fontId="0" fillId="0" borderId="6" xfId="0" applyNumberFormat="1" applyBorder="1"/>
    <xf numFmtId="0" fontId="0" fillId="0" borderId="9" xfId="0" applyBorder="1"/>
    <xf numFmtId="0" fontId="0" fillId="0" borderId="0" xfId="0" applyAlignment="1">
      <alignment wrapText="1"/>
    </xf>
    <xf numFmtId="0" fontId="0" fillId="0" borderId="1" xfId="0" applyBorder="1" applyAlignment="1">
      <alignment wrapText="1"/>
    </xf>
    <xf numFmtId="0" fontId="0" fillId="2" borderId="1" xfId="0" applyFill="1" applyBorder="1" applyAlignment="1">
      <alignment wrapText="1"/>
    </xf>
    <xf numFmtId="164" fontId="0" fillId="5" borderId="1" xfId="0" applyNumberFormat="1" applyFill="1" applyBorder="1" applyAlignment="1">
      <alignment wrapText="1"/>
    </xf>
    <xf numFmtId="0" fontId="0" fillId="5" borderId="1" xfId="0" applyFill="1" applyBorder="1" applyAlignment="1">
      <alignment wrapText="1"/>
    </xf>
    <xf numFmtId="1" fontId="0" fillId="0" borderId="0" xfId="0" applyNumberFormat="1" applyAlignment="1">
      <alignment wrapText="1"/>
    </xf>
    <xf numFmtId="164" fontId="0" fillId="6" borderId="10" xfId="0" applyNumberFormat="1" applyFill="1" applyBorder="1"/>
    <xf numFmtId="0" fontId="0" fillId="6" borderId="0" xfId="0" applyFill="1" applyAlignment="1">
      <alignment horizontal="center" wrapText="1"/>
    </xf>
    <xf numFmtId="0" fontId="0" fillId="6" borderId="11" xfId="0" applyFill="1" applyBorder="1" applyAlignment="1">
      <alignment horizontal="center" wrapText="1"/>
    </xf>
    <xf numFmtId="0" fontId="0" fillId="6" borderId="10" xfId="0" applyFill="1" applyBorder="1"/>
    <xf numFmtId="164" fontId="0" fillId="6" borderId="11" xfId="0" applyNumberFormat="1" applyFill="1" applyBorder="1"/>
    <xf numFmtId="0" fontId="0" fillId="0" borderId="13" xfId="0" applyBorder="1" applyAlignment="1">
      <alignment wrapText="1"/>
    </xf>
    <xf numFmtId="14" fontId="0" fillId="2" borderId="0" xfId="0" applyNumberFormat="1" applyFill="1"/>
    <xf numFmtId="1" fontId="0" fillId="3" borderId="0" xfId="0" applyNumberFormat="1" applyFill="1"/>
    <xf numFmtId="0" fontId="0" fillId="3" borderId="4" xfId="0" applyFill="1" applyBorder="1"/>
    <xf numFmtId="164" fontId="0" fillId="7" borderId="16" xfId="0" applyNumberFormat="1" applyFill="1" applyBorder="1"/>
    <xf numFmtId="0" fontId="0" fillId="7" borderId="0" xfId="0" applyFill="1"/>
    <xf numFmtId="0" fontId="0" fillId="8" borderId="17" xfId="0" applyFill="1" applyBorder="1"/>
    <xf numFmtId="0" fontId="0" fillId="7" borderId="18" xfId="0" applyFill="1" applyBorder="1"/>
    <xf numFmtId="0" fontId="0" fillId="7" borderId="16" xfId="0" applyFill="1" applyBorder="1"/>
    <xf numFmtId="0" fontId="0" fillId="5" borderId="0" xfId="0" applyFill="1" applyAlignment="1">
      <alignment horizontal="center" vertical="center"/>
    </xf>
    <xf numFmtId="0" fontId="0" fillId="5" borderId="19" xfId="0" applyFill="1" applyBorder="1" applyAlignment="1">
      <alignment horizontal="center" vertical="center"/>
    </xf>
    <xf numFmtId="0" fontId="0" fillId="2" borderId="1" xfId="0" applyFill="1" applyBorder="1"/>
    <xf numFmtId="0" fontId="0" fillId="5" borderId="1" xfId="0" applyFill="1" applyBorder="1"/>
    <xf numFmtId="1" fontId="0" fillId="5" borderId="1" xfId="0" applyNumberFormat="1" applyFill="1" applyBorder="1"/>
    <xf numFmtId="0" fontId="2" fillId="0" borderId="0" xfId="0" applyFont="1"/>
    <xf numFmtId="0" fontId="0" fillId="0" borderId="21" xfId="0" applyBorder="1"/>
    <xf numFmtId="0" fontId="0" fillId="2" borderId="0" xfId="0" applyFill="1" applyAlignment="1">
      <alignment horizontal="center" vertical="center"/>
    </xf>
    <xf numFmtId="1" fontId="0" fillId="5" borderId="0" xfId="0" applyNumberFormat="1" applyFill="1" applyAlignment="1">
      <alignment horizontal="center" vertical="center"/>
    </xf>
    <xf numFmtId="0" fontId="0" fillId="0" borderId="20" xfId="0" applyBorder="1"/>
    <xf numFmtId="0" fontId="0" fillId="0" borderId="7" xfId="0" applyBorder="1"/>
    <xf numFmtId="0" fontId="0" fillId="3" borderId="23" xfId="0" applyFill="1" applyBorder="1"/>
    <xf numFmtId="0" fontId="0" fillId="3" borderId="1" xfId="0" applyFill="1" applyBorder="1"/>
    <xf numFmtId="0" fontId="0" fillId="0" borderId="22" xfId="0" applyBorder="1"/>
    <xf numFmtId="0" fontId="0" fillId="0" borderId="22" xfId="0" applyBorder="1" applyAlignment="1">
      <alignment horizontal="left" wrapText="1"/>
    </xf>
    <xf numFmtId="0" fontId="0" fillId="0" borderId="8" xfId="0" applyBorder="1" applyAlignment="1">
      <alignment horizontal="left" wrapText="1"/>
    </xf>
    <xf numFmtId="0" fontId="0" fillId="0" borderId="1" xfId="0" applyBorder="1" applyAlignment="1">
      <alignment horizontal="left"/>
    </xf>
    <xf numFmtId="0" fontId="1" fillId="0" borderId="1" xfId="0" applyFont="1" applyBorder="1" applyAlignment="1">
      <alignment horizontal="left"/>
    </xf>
    <xf numFmtId="0" fontId="0" fillId="0" borderId="26" xfId="0" applyBorder="1"/>
    <xf numFmtId="0" fontId="1" fillId="5" borderId="23" xfId="0" applyFont="1" applyFill="1" applyBorder="1" applyAlignment="1">
      <alignment wrapText="1"/>
    </xf>
    <xf numFmtId="0" fontId="1" fillId="5" borderId="14" xfId="0" applyFont="1" applyFill="1" applyBorder="1" applyAlignment="1">
      <alignment horizontal="left" wrapText="1"/>
    </xf>
    <xf numFmtId="0" fontId="3" fillId="2" borderId="0" xfId="0" applyFont="1" applyFill="1"/>
    <xf numFmtId="0" fontId="4" fillId="2" borderId="0" xfId="0" applyFont="1" applyFill="1"/>
    <xf numFmtId="0" fontId="3" fillId="2" borderId="0" xfId="0" applyFont="1" applyFill="1" applyAlignment="1">
      <alignment wrapText="1"/>
    </xf>
    <xf numFmtId="0" fontId="5" fillId="2" borderId="0" xfId="0" applyFont="1" applyFill="1" applyAlignment="1">
      <alignment vertical="center" wrapText="1"/>
    </xf>
    <xf numFmtId="164" fontId="3" fillId="2" borderId="0" xfId="0" applyNumberFormat="1" applyFont="1" applyFill="1"/>
    <xf numFmtId="0" fontId="3" fillId="2" borderId="0" xfId="0" applyFont="1" applyFill="1" applyAlignment="1">
      <alignment vertical="top" wrapText="1"/>
    </xf>
    <xf numFmtId="0" fontId="3" fillId="2" borderId="0" xfId="0" applyFont="1" applyFill="1" applyAlignment="1">
      <alignment horizontal="left" vertical="center" wrapText="1"/>
    </xf>
    <xf numFmtId="0" fontId="5" fillId="2" borderId="30" xfId="0" applyFont="1" applyFill="1" applyBorder="1" applyAlignment="1">
      <alignment vertical="center" wrapText="1"/>
    </xf>
    <xf numFmtId="0" fontId="6" fillId="3" borderId="1" xfId="0" applyFont="1" applyFill="1" applyBorder="1" applyAlignment="1" applyProtection="1">
      <alignment horizontal="center" vertical="center"/>
      <protection locked="0"/>
    </xf>
    <xf numFmtId="0" fontId="3" fillId="2" borderId="23" xfId="0" applyFont="1" applyFill="1" applyBorder="1"/>
    <xf numFmtId="0" fontId="3" fillId="2" borderId="27" xfId="0" applyFont="1" applyFill="1" applyBorder="1"/>
    <xf numFmtId="0" fontId="3" fillId="2" borderId="28" xfId="0" applyFont="1" applyFill="1" applyBorder="1"/>
    <xf numFmtId="0" fontId="3" fillId="2" borderId="29" xfId="0" applyFont="1" applyFill="1" applyBorder="1"/>
    <xf numFmtId="49" fontId="6" fillId="2" borderId="27" xfId="0" applyNumberFormat="1" applyFont="1" applyFill="1" applyBorder="1" applyAlignment="1">
      <alignment horizontal="center" vertical="center"/>
    </xf>
    <xf numFmtId="0" fontId="6" fillId="2" borderId="28" xfId="0" applyFont="1" applyFill="1" applyBorder="1" applyAlignment="1">
      <alignment horizontal="center" vertical="center" wrapText="1"/>
    </xf>
    <xf numFmtId="0" fontId="8" fillId="2" borderId="0" xfId="0" applyFont="1" applyFill="1" applyAlignment="1">
      <alignment horizontal="left" vertical="center"/>
    </xf>
    <xf numFmtId="0" fontId="3" fillId="2" borderId="43" xfId="0" applyFont="1" applyFill="1" applyBorder="1"/>
    <xf numFmtId="0" fontId="3" fillId="2" borderId="30" xfId="0" applyFont="1" applyFill="1" applyBorder="1"/>
    <xf numFmtId="0" fontId="13" fillId="3" borderId="1" xfId="0" applyFont="1" applyFill="1" applyBorder="1" applyAlignment="1" applyProtection="1">
      <alignment horizontal="center" vertical="center"/>
      <protection locked="0"/>
    </xf>
    <xf numFmtId="49" fontId="6" fillId="2" borderId="30" xfId="0" applyNumberFormat="1" applyFont="1" applyFill="1" applyBorder="1" applyAlignment="1">
      <alignment horizontal="center" vertical="center"/>
    </xf>
    <xf numFmtId="49" fontId="13" fillId="3" borderId="1" xfId="0" applyNumberFormat="1" applyFont="1" applyFill="1" applyBorder="1" applyAlignment="1" applyProtection="1">
      <alignment horizontal="center" vertical="center"/>
      <protection locked="0"/>
    </xf>
    <xf numFmtId="0" fontId="6" fillId="2" borderId="0" xfId="0" applyFont="1" applyFill="1" applyAlignment="1">
      <alignment horizontal="left" vertical="center" wrapText="1"/>
    </xf>
    <xf numFmtId="0" fontId="6" fillId="2" borderId="30" xfId="0" applyFont="1" applyFill="1" applyBorder="1" applyAlignment="1">
      <alignment horizontal="center" vertical="center"/>
    </xf>
    <xf numFmtId="0" fontId="6" fillId="2" borderId="0" xfId="0" applyFont="1" applyFill="1" applyAlignment="1">
      <alignment horizontal="left" vertical="center"/>
    </xf>
    <xf numFmtId="165" fontId="13" fillId="3" borderId="1" xfId="0" applyNumberFormat="1" applyFont="1" applyFill="1" applyBorder="1" applyAlignment="1" applyProtection="1">
      <alignment horizontal="center" vertical="center"/>
      <protection locked="0"/>
    </xf>
    <xf numFmtId="0" fontId="3" fillId="2" borderId="33" xfId="0" applyFont="1" applyFill="1" applyBorder="1"/>
    <xf numFmtId="0" fontId="3" fillId="2" borderId="31" xfId="0" applyFont="1" applyFill="1" applyBorder="1"/>
    <xf numFmtId="0" fontId="3" fillId="2" borderId="32" xfId="0" applyFont="1" applyFill="1" applyBorder="1"/>
    <xf numFmtId="0" fontId="14" fillId="2" borderId="0" xfId="0" applyFont="1" applyFill="1"/>
    <xf numFmtId="0" fontId="3" fillId="2" borderId="0" xfId="0" applyFont="1" applyFill="1" applyAlignment="1">
      <alignment vertical="center"/>
    </xf>
    <xf numFmtId="0" fontId="8" fillId="2" borderId="0" xfId="0" applyFont="1" applyFill="1" applyAlignment="1">
      <alignment vertical="top"/>
    </xf>
    <xf numFmtId="0" fontId="11" fillId="2" borderId="0" xfId="0" applyFont="1" applyFill="1" applyAlignment="1">
      <alignment vertical="center"/>
    </xf>
    <xf numFmtId="20" fontId="13" fillId="3" borderId="1" xfId="0" applyNumberFormat="1" applyFont="1" applyFill="1" applyBorder="1" applyAlignment="1" applyProtection="1">
      <alignment horizontal="center" vertical="center"/>
      <protection locked="0"/>
    </xf>
    <xf numFmtId="0" fontId="6" fillId="3" borderId="51" xfId="0" applyFont="1" applyFill="1" applyBorder="1" applyAlignment="1" applyProtection="1">
      <alignment horizontal="center" vertical="center"/>
      <protection locked="0"/>
    </xf>
    <xf numFmtId="0" fontId="15" fillId="2" borderId="0" xfId="0" applyFont="1" applyFill="1" applyAlignment="1">
      <alignment vertical="center"/>
    </xf>
    <xf numFmtId="0" fontId="6" fillId="2" borderId="0" xfId="0" applyFont="1" applyFill="1" applyAlignment="1">
      <alignment vertical="center"/>
    </xf>
    <xf numFmtId="0" fontId="14" fillId="2" borderId="0" xfId="0" applyFont="1" applyFill="1" applyAlignment="1">
      <alignment vertical="center"/>
    </xf>
    <xf numFmtId="17" fontId="14" fillId="2" borderId="0" xfId="0" applyNumberFormat="1" applyFont="1" applyFill="1"/>
    <xf numFmtId="0" fontId="15" fillId="2" borderId="0" xfId="0" applyFont="1" applyFill="1" applyAlignment="1">
      <alignment horizontal="left" vertical="center" wrapText="1"/>
    </xf>
    <xf numFmtId="164" fontId="6" fillId="3" borderId="1" xfId="0" applyNumberFormat="1" applyFont="1" applyFill="1" applyBorder="1" applyAlignment="1" applyProtection="1">
      <alignment horizontal="center" vertical="center"/>
      <protection locked="0"/>
    </xf>
    <xf numFmtId="0" fontId="14" fillId="2" borderId="0" xfId="0" applyFont="1" applyFill="1" applyAlignment="1">
      <alignment horizontal="left"/>
    </xf>
    <xf numFmtId="164" fontId="14" fillId="2" borderId="0" xfId="0" applyNumberFormat="1" applyFont="1" applyFill="1"/>
    <xf numFmtId="20" fontId="14" fillId="2" borderId="0" xfId="0" applyNumberFormat="1" applyFont="1" applyFill="1"/>
    <xf numFmtId="20" fontId="3" fillId="2" borderId="0" xfId="0" applyNumberFormat="1" applyFont="1" applyFill="1"/>
    <xf numFmtId="0" fontId="17" fillId="2" borderId="0" xfId="0" applyFont="1" applyFill="1" applyAlignment="1">
      <alignment vertical="center"/>
    </xf>
    <xf numFmtId="0" fontId="6" fillId="2" borderId="0" xfId="0" applyFont="1" applyFill="1" applyAlignment="1">
      <alignment vertical="center" wrapText="1"/>
    </xf>
    <xf numFmtId="0" fontId="15" fillId="2" borderId="0" xfId="0" applyFont="1" applyFill="1" applyAlignment="1">
      <alignment wrapText="1"/>
    </xf>
    <xf numFmtId="0" fontId="18" fillId="2" borderId="0" xfId="0" applyFont="1" applyFill="1" applyAlignment="1">
      <alignment horizontal="left"/>
    </xf>
    <xf numFmtId="165" fontId="6" fillId="3" borderId="45" xfId="0" applyNumberFormat="1" applyFont="1" applyFill="1" applyBorder="1" applyAlignment="1" applyProtection="1">
      <alignment horizontal="center" vertical="center"/>
      <protection locked="0"/>
    </xf>
    <xf numFmtId="0" fontId="3" fillId="2" borderId="11" xfId="0" applyFont="1" applyFill="1" applyBorder="1"/>
    <xf numFmtId="0" fontId="3" fillId="2" borderId="0" xfId="0" applyFont="1" applyFill="1" applyProtection="1">
      <protection locked="0"/>
    </xf>
    <xf numFmtId="0" fontId="0" fillId="2" borderId="0" xfId="0" applyFill="1" applyProtection="1">
      <protection locked="0"/>
    </xf>
    <xf numFmtId="0" fontId="19" fillId="2" borderId="0" xfId="0" applyFont="1" applyFill="1"/>
    <xf numFmtId="0" fontId="0" fillId="2" borderId="55" xfId="0" applyFill="1" applyBorder="1"/>
    <xf numFmtId="0" fontId="19" fillId="2" borderId="56" xfId="0" applyFont="1" applyFill="1" applyBorder="1"/>
    <xf numFmtId="0" fontId="0" fillId="2" borderId="56" xfId="0" applyFill="1" applyBorder="1"/>
    <xf numFmtId="0" fontId="0" fillId="2" borderId="57" xfId="0" applyFill="1" applyBorder="1"/>
    <xf numFmtId="0" fontId="0" fillId="2" borderId="58" xfId="0" applyFill="1" applyBorder="1"/>
    <xf numFmtId="0" fontId="0" fillId="2" borderId="38" xfId="0" applyFill="1" applyBorder="1"/>
    <xf numFmtId="0" fontId="0" fillId="2" borderId="59" xfId="0" applyFill="1" applyBorder="1"/>
    <xf numFmtId="0" fontId="5" fillId="2" borderId="0" xfId="0" applyFont="1" applyFill="1"/>
    <xf numFmtId="0" fontId="6" fillId="2" borderId="0" xfId="0" applyFont="1" applyFill="1"/>
    <xf numFmtId="0" fontId="0" fillId="2" borderId="60" xfId="0" applyFill="1" applyBorder="1"/>
    <xf numFmtId="0" fontId="6" fillId="2" borderId="61" xfId="0" applyFont="1" applyFill="1" applyBorder="1"/>
    <xf numFmtId="0" fontId="0" fillId="2" borderId="61" xfId="0" applyFill="1" applyBorder="1"/>
    <xf numFmtId="0" fontId="0" fillId="2" borderId="62" xfId="0" applyFill="1" applyBorder="1"/>
    <xf numFmtId="0" fontId="0" fillId="5" borderId="55" xfId="0" applyFill="1" applyBorder="1"/>
    <xf numFmtId="0" fontId="0" fillId="5" borderId="56" xfId="0" applyFill="1" applyBorder="1"/>
    <xf numFmtId="0" fontId="0" fillId="5" borderId="57" xfId="0" applyFill="1" applyBorder="1"/>
    <xf numFmtId="0" fontId="0" fillId="5" borderId="58" xfId="0" applyFill="1" applyBorder="1"/>
    <xf numFmtId="0" fontId="5" fillId="5" borderId="0" xfId="0" applyFont="1" applyFill="1"/>
    <xf numFmtId="0" fontId="6" fillId="5" borderId="0" xfId="0" applyFont="1" applyFill="1"/>
    <xf numFmtId="0" fontId="0" fillId="5" borderId="0" xfId="0" applyFill="1"/>
    <xf numFmtId="0" fontId="0" fillId="5" borderId="59" xfId="0" applyFill="1" applyBorder="1"/>
    <xf numFmtId="0" fontId="0" fillId="5" borderId="60" xfId="0" applyFill="1" applyBorder="1"/>
    <xf numFmtId="0" fontId="0" fillId="5" borderId="61" xfId="0" applyFill="1" applyBorder="1"/>
    <xf numFmtId="0" fontId="0" fillId="5" borderId="62" xfId="0" applyFill="1" applyBorder="1"/>
    <xf numFmtId="0" fontId="21" fillId="0" borderId="0" xfId="0" applyFont="1" applyAlignment="1">
      <alignment vertical="center"/>
    </xf>
    <xf numFmtId="166" fontId="6" fillId="2" borderId="46" xfId="0" applyNumberFormat="1" applyFont="1" applyFill="1" applyBorder="1" applyAlignment="1">
      <alignment horizontal="left" vertical="center"/>
    </xf>
    <xf numFmtId="166" fontId="6" fillId="2" borderId="42" xfId="0" applyNumberFormat="1" applyFont="1" applyFill="1" applyBorder="1" applyAlignment="1">
      <alignment horizontal="left" vertical="center"/>
    </xf>
    <xf numFmtId="0" fontId="5" fillId="2" borderId="28" xfId="0" applyFont="1" applyFill="1" applyBorder="1" applyAlignment="1">
      <alignment vertical="center" wrapText="1"/>
    </xf>
    <xf numFmtId="0" fontId="5" fillId="2" borderId="27" xfId="0" applyFont="1" applyFill="1" applyBorder="1" applyAlignment="1">
      <alignment vertical="center" wrapText="1"/>
    </xf>
    <xf numFmtId="164" fontId="0" fillId="0" borderId="0" xfId="0" applyNumberFormat="1" applyAlignment="1">
      <alignment wrapText="1"/>
    </xf>
    <xf numFmtId="0" fontId="0" fillId="0" borderId="63" xfId="0" applyBorder="1"/>
    <xf numFmtId="0" fontId="0" fillId="0" borderId="64" xfId="0" applyBorder="1"/>
    <xf numFmtId="14" fontId="0" fillId="0" borderId="29" xfId="0" applyNumberFormat="1" applyBorder="1"/>
    <xf numFmtId="14" fontId="0" fillId="0" borderId="43" xfId="0" applyNumberFormat="1" applyBorder="1"/>
    <xf numFmtId="14" fontId="0" fillId="0" borderId="66" xfId="0" applyNumberFormat="1" applyBorder="1"/>
    <xf numFmtId="0" fontId="0" fillId="0" borderId="65" xfId="0" applyBorder="1"/>
    <xf numFmtId="0" fontId="0" fillId="0" borderId="67" xfId="0" applyBorder="1"/>
    <xf numFmtId="0" fontId="0" fillId="0" borderId="68" xfId="0" applyBorder="1"/>
    <xf numFmtId="0" fontId="0" fillId="0" borderId="69" xfId="0" applyBorder="1"/>
    <xf numFmtId="0" fontId="0" fillId="0" borderId="70" xfId="0" applyBorder="1"/>
    <xf numFmtId="0" fontId="0" fillId="0" borderId="71" xfId="0" applyBorder="1"/>
    <xf numFmtId="14" fontId="0" fillId="0" borderId="5" xfId="0" applyNumberFormat="1" applyBorder="1"/>
    <xf numFmtId="0" fontId="12" fillId="2" borderId="0" xfId="0" applyFont="1" applyFill="1"/>
    <xf numFmtId="0" fontId="23" fillId="2" borderId="0" xfId="0" applyFont="1" applyFill="1" applyProtection="1">
      <protection locked="0"/>
    </xf>
    <xf numFmtId="168" fontId="0" fillId="0" borderId="65" xfId="0" applyNumberFormat="1" applyBorder="1"/>
    <xf numFmtId="2" fontId="0" fillId="3" borderId="2" xfId="0" applyNumberFormat="1" applyFill="1" applyBorder="1"/>
    <xf numFmtId="0" fontId="3" fillId="2" borderId="0" xfId="0" applyFont="1" applyFill="1" applyAlignment="1">
      <alignment horizontal="left" vertical="center"/>
    </xf>
    <xf numFmtId="0" fontId="6" fillId="3" borderId="45" xfId="0" applyFont="1" applyFill="1" applyBorder="1" applyAlignment="1" applyProtection="1">
      <alignment horizontal="center" vertical="center"/>
      <protection locked="0"/>
    </xf>
    <xf numFmtId="0" fontId="6" fillId="2" borderId="34" xfId="0" applyFont="1" applyFill="1" applyBorder="1" applyAlignment="1">
      <alignment horizontal="center" vertical="center" wrapText="1"/>
    </xf>
    <xf numFmtId="0" fontId="10" fillId="2" borderId="0" xfId="0" applyFont="1" applyFill="1" applyAlignment="1">
      <alignment horizontal="left" vertical="center" wrapText="1"/>
    </xf>
    <xf numFmtId="166" fontId="6" fillId="2" borderId="73" xfId="0" applyNumberFormat="1" applyFont="1" applyFill="1" applyBorder="1" applyAlignment="1">
      <alignment horizontal="left" vertical="center"/>
    </xf>
    <xf numFmtId="0" fontId="0" fillId="2" borderId="0" xfId="0" applyFill="1" applyAlignment="1">
      <alignment wrapText="1"/>
    </xf>
    <xf numFmtId="0" fontId="27" fillId="11" borderId="0" xfId="0" applyFont="1" applyFill="1"/>
    <xf numFmtId="0" fontId="28" fillId="11" borderId="0" xfId="0" applyFont="1" applyFill="1"/>
    <xf numFmtId="0" fontId="0" fillId="0" borderId="0" xfId="0" applyAlignment="1">
      <alignment horizontal="center"/>
    </xf>
    <xf numFmtId="0" fontId="0" fillId="0" borderId="1" xfId="0" applyBorder="1" applyAlignment="1">
      <alignment vertical="top" wrapText="1"/>
    </xf>
    <xf numFmtId="0" fontId="0" fillId="12" borderId="1" xfId="0" applyFill="1" applyBorder="1" applyAlignment="1">
      <alignment vertical="top" wrapText="1"/>
    </xf>
    <xf numFmtId="0" fontId="0" fillId="4" borderId="1" xfId="0" applyFill="1" applyBorder="1" applyAlignment="1">
      <alignment wrapText="1"/>
    </xf>
    <xf numFmtId="0" fontId="0" fillId="13" borderId="1" xfId="0" applyFill="1" applyBorder="1" applyAlignment="1">
      <alignment wrapText="1"/>
    </xf>
    <xf numFmtId="0" fontId="0" fillId="14" borderId="1" xfId="0" applyFill="1" applyBorder="1" applyAlignment="1">
      <alignment wrapText="1"/>
    </xf>
    <xf numFmtId="0" fontId="0" fillId="7" borderId="33" xfId="0" applyFill="1" applyBorder="1"/>
    <xf numFmtId="0" fontId="0" fillId="7" borderId="32" xfId="0" applyFill="1" applyBorder="1"/>
    <xf numFmtId="0" fontId="0" fillId="7" borderId="31" xfId="0" applyFill="1" applyBorder="1"/>
    <xf numFmtId="0" fontId="0" fillId="7" borderId="23" xfId="0" applyFill="1" applyBorder="1"/>
    <xf numFmtId="0" fontId="5" fillId="7" borderId="0" xfId="0" applyFont="1" applyFill="1"/>
    <xf numFmtId="0" fontId="0" fillId="7" borderId="30" xfId="0" applyFill="1" applyBorder="1"/>
    <xf numFmtId="0" fontId="0" fillId="7" borderId="29" xfId="0" applyFill="1" applyBorder="1"/>
    <xf numFmtId="0" fontId="0" fillId="7" borderId="28" xfId="0" applyFill="1" applyBorder="1"/>
    <xf numFmtId="0" fontId="0" fillId="7" borderId="27" xfId="0" applyFill="1" applyBorder="1"/>
    <xf numFmtId="0" fontId="0" fillId="0" borderId="81" xfId="0" applyBorder="1"/>
    <xf numFmtId="168" fontId="0" fillId="0" borderId="81" xfId="0" applyNumberFormat="1" applyBorder="1"/>
    <xf numFmtId="0" fontId="0" fillId="0" borderId="82" xfId="0" applyBorder="1"/>
    <xf numFmtId="0" fontId="0" fillId="0" borderId="83" xfId="0" applyBorder="1" applyAlignment="1">
      <alignment wrapText="1"/>
    </xf>
    <xf numFmtId="0" fontId="0" fillId="0" borderId="84" xfId="0" applyBorder="1" applyAlignment="1">
      <alignment wrapText="1"/>
    </xf>
    <xf numFmtId="2" fontId="0" fillId="0" borderId="13" xfId="0" applyNumberFormat="1" applyBorder="1" applyAlignment="1">
      <alignment wrapText="1"/>
    </xf>
    <xf numFmtId="2" fontId="0" fillId="0" borderId="13" xfId="0" quotePrefix="1" applyNumberFormat="1" applyBorder="1" applyAlignment="1">
      <alignment wrapText="1"/>
    </xf>
    <xf numFmtId="2" fontId="0" fillId="0" borderId="85" xfId="0" applyNumberFormat="1" applyBorder="1" applyAlignment="1">
      <alignment wrapText="1"/>
    </xf>
    <xf numFmtId="168" fontId="0" fillId="0" borderId="86" xfId="0" applyNumberFormat="1" applyBorder="1"/>
    <xf numFmtId="0" fontId="0" fillId="0" borderId="87" xfId="0" applyBorder="1"/>
    <xf numFmtId="168" fontId="0" fillId="0" borderId="67" xfId="0" applyNumberFormat="1" applyBorder="1"/>
    <xf numFmtId="168" fontId="0" fillId="0" borderId="70" xfId="0" applyNumberFormat="1" applyBorder="1"/>
    <xf numFmtId="0" fontId="0" fillId="0" borderId="88" xfId="0" applyBorder="1"/>
    <xf numFmtId="0" fontId="0" fillId="0" borderId="89" xfId="0" applyBorder="1"/>
    <xf numFmtId="0" fontId="0" fillId="0" borderId="90" xfId="0" applyBorder="1"/>
    <xf numFmtId="0" fontId="0" fillId="0" borderId="91" xfId="0" applyBorder="1"/>
    <xf numFmtId="0" fontId="0" fillId="0" borderId="92" xfId="0" applyBorder="1"/>
    <xf numFmtId="0" fontId="0" fillId="0" borderId="93" xfId="0" applyBorder="1"/>
    <xf numFmtId="168" fontId="0" fillId="0" borderId="94" xfId="0" applyNumberFormat="1" applyBorder="1"/>
    <xf numFmtId="168" fontId="0" fillId="0" borderId="95" xfId="0" applyNumberFormat="1" applyBorder="1"/>
    <xf numFmtId="168" fontId="0" fillId="0" borderId="96" xfId="0" applyNumberFormat="1" applyBorder="1"/>
    <xf numFmtId="168" fontId="0" fillId="0" borderId="97" xfId="0" applyNumberFormat="1" applyBorder="1"/>
    <xf numFmtId="168" fontId="0" fillId="0" borderId="98" xfId="0" applyNumberFormat="1" applyBorder="1"/>
    <xf numFmtId="167" fontId="0" fillId="0" borderId="0" xfId="0" applyNumberFormat="1"/>
    <xf numFmtId="167" fontId="0" fillId="0" borderId="11" xfId="0" applyNumberFormat="1" applyBorder="1"/>
    <xf numFmtId="167" fontId="0" fillId="0" borderId="37" xfId="0" applyNumberFormat="1" applyBorder="1"/>
    <xf numFmtId="0" fontId="26" fillId="0" borderId="77" xfId="0" applyFont="1" applyBorder="1" applyAlignment="1">
      <alignment horizontal="center" vertical="center" wrapText="1"/>
    </xf>
    <xf numFmtId="0" fontId="26" fillId="0" borderId="77" xfId="0" applyFont="1" applyBorder="1" applyAlignment="1">
      <alignment horizontal="center" vertical="center"/>
    </xf>
    <xf numFmtId="0" fontId="0" fillId="0" borderId="77" xfId="0" applyBorder="1" applyAlignment="1">
      <alignment horizontal="left" vertical="center"/>
    </xf>
    <xf numFmtId="14" fontId="0" fillId="0" borderId="77" xfId="0" applyNumberFormat="1" applyBorder="1" applyAlignment="1">
      <alignment horizontal="left" vertical="center"/>
    </xf>
    <xf numFmtId="169" fontId="0" fillId="0" borderId="77" xfId="0" applyNumberFormat="1" applyBorder="1" applyAlignment="1">
      <alignment horizontal="left" vertical="center"/>
    </xf>
    <xf numFmtId="1" fontId="6" fillId="5" borderId="77" xfId="0" applyNumberFormat="1" applyFont="1" applyFill="1" applyBorder="1" applyAlignment="1" applyProtection="1">
      <alignment horizontal="center" vertical="center"/>
      <protection locked="0"/>
    </xf>
    <xf numFmtId="1" fontId="8" fillId="5" borderId="74" xfId="0" applyNumberFormat="1" applyFont="1" applyFill="1" applyBorder="1" applyAlignment="1" applyProtection="1">
      <alignment horizontal="center" vertical="center"/>
      <protection locked="0"/>
    </xf>
    <xf numFmtId="1" fontId="8" fillId="5" borderId="45" xfId="0" applyNumberFormat="1" applyFont="1" applyFill="1" applyBorder="1" applyAlignment="1" applyProtection="1">
      <alignment horizontal="center" vertical="center"/>
      <protection locked="0"/>
    </xf>
    <xf numFmtId="1" fontId="8" fillId="5" borderId="44" xfId="0" applyNumberFormat="1" applyFont="1" applyFill="1" applyBorder="1" applyAlignment="1" applyProtection="1">
      <alignment horizontal="center" vertical="center"/>
      <protection locked="0"/>
    </xf>
    <xf numFmtId="1" fontId="8" fillId="5" borderId="41" xfId="0" applyNumberFormat="1" applyFont="1" applyFill="1" applyBorder="1" applyAlignment="1" applyProtection="1">
      <alignment horizontal="center" vertical="center"/>
      <protection locked="0"/>
    </xf>
    <xf numFmtId="1" fontId="8" fillId="5" borderId="76" xfId="0" applyNumberFormat="1" applyFont="1" applyFill="1" applyBorder="1" applyAlignment="1" applyProtection="1">
      <alignment horizontal="center" vertical="center"/>
      <protection locked="0"/>
    </xf>
    <xf numFmtId="1" fontId="8" fillId="5" borderId="75" xfId="0" applyNumberFormat="1" applyFont="1" applyFill="1" applyBorder="1" applyAlignment="1" applyProtection="1">
      <alignment horizontal="center" vertical="center"/>
      <protection locked="0"/>
    </xf>
    <xf numFmtId="1" fontId="6" fillId="5" borderId="44" xfId="0" applyNumberFormat="1" applyFont="1" applyFill="1" applyBorder="1" applyAlignment="1" applyProtection="1">
      <alignment horizontal="center" vertical="center"/>
      <protection locked="0"/>
    </xf>
    <xf numFmtId="0" fontId="3" fillId="3" borderId="77" xfId="0" applyFont="1" applyFill="1" applyBorder="1" applyAlignment="1" applyProtection="1">
      <alignment horizontal="left" vertical="center"/>
      <protection locked="0"/>
    </xf>
    <xf numFmtId="1" fontId="6" fillId="5" borderId="45" xfId="0" applyNumberFormat="1" applyFont="1" applyFill="1" applyBorder="1" applyAlignment="1" applyProtection="1">
      <alignment horizontal="center" vertical="center"/>
      <protection locked="0"/>
    </xf>
    <xf numFmtId="1" fontId="6" fillId="5" borderId="99" xfId="0" applyNumberFormat="1" applyFont="1" applyFill="1" applyBorder="1" applyAlignment="1" applyProtection="1">
      <alignment horizontal="center" vertical="center"/>
      <protection locked="0"/>
    </xf>
    <xf numFmtId="1" fontId="6" fillId="5" borderId="41" xfId="0" applyNumberFormat="1" applyFont="1" applyFill="1" applyBorder="1" applyAlignment="1" applyProtection="1">
      <alignment horizontal="center" vertical="center"/>
      <protection locked="0"/>
    </xf>
    <xf numFmtId="0" fontId="4" fillId="2" borderId="49" xfId="0" applyFont="1" applyFill="1" applyBorder="1" applyAlignment="1">
      <alignment vertical="center" wrapText="1"/>
    </xf>
    <xf numFmtId="0" fontId="4" fillId="2" borderId="48" xfId="0" applyFont="1" applyFill="1" applyBorder="1" applyAlignment="1">
      <alignment horizontal="left" vertical="center" wrapText="1"/>
    </xf>
    <xf numFmtId="0" fontId="4" fillId="2" borderId="48" xfId="0" applyFont="1" applyFill="1" applyBorder="1" applyAlignment="1">
      <alignment vertical="center" wrapText="1"/>
    </xf>
    <xf numFmtId="0" fontId="4" fillId="2" borderId="47" xfId="0" applyFont="1" applyFill="1" applyBorder="1" applyAlignment="1">
      <alignment horizontal="left" vertical="center" wrapText="1"/>
    </xf>
    <xf numFmtId="14" fontId="6" fillId="2" borderId="73" xfId="0" applyNumberFormat="1" applyFont="1" applyFill="1" applyBorder="1" applyAlignment="1">
      <alignment horizontal="left" vertical="center"/>
    </xf>
    <xf numFmtId="14" fontId="6" fillId="2" borderId="46" xfId="0" applyNumberFormat="1" applyFont="1" applyFill="1" applyBorder="1" applyAlignment="1">
      <alignment horizontal="left" vertical="center"/>
    </xf>
    <xf numFmtId="14" fontId="6" fillId="2" borderId="42" xfId="0" applyNumberFormat="1" applyFont="1" applyFill="1" applyBorder="1" applyAlignment="1">
      <alignment horizontal="left" vertical="center"/>
    </xf>
    <xf numFmtId="0" fontId="0" fillId="0" borderId="78" xfId="0" applyBorder="1" applyAlignment="1">
      <alignment horizontal="left" vertical="center"/>
    </xf>
    <xf numFmtId="0" fontId="0" fillId="0" borderId="79" xfId="0" applyBorder="1" applyAlignment="1">
      <alignment horizontal="left" vertical="center"/>
    </xf>
    <xf numFmtId="0" fontId="0" fillId="0" borderId="80" xfId="0" applyBorder="1" applyAlignment="1">
      <alignment horizontal="left" vertical="center"/>
    </xf>
    <xf numFmtId="0" fontId="31" fillId="2" borderId="0" xfId="0" applyFont="1" applyFill="1" applyAlignment="1">
      <alignment horizontal="left" vertical="center" wrapText="1"/>
    </xf>
    <xf numFmtId="0" fontId="30" fillId="2" borderId="0" xfId="0" applyFont="1" applyFill="1" applyAlignment="1">
      <alignment horizontal="left" wrapText="1"/>
    </xf>
    <xf numFmtId="0" fontId="25" fillId="2" borderId="0" xfId="0" applyFont="1" applyFill="1" applyAlignment="1">
      <alignment horizontal="left" wrapText="1"/>
    </xf>
    <xf numFmtId="0" fontId="26" fillId="0" borderId="78" xfId="0" applyFont="1" applyBorder="1" applyAlignment="1">
      <alignment horizontal="center" vertical="center"/>
    </xf>
    <xf numFmtId="0" fontId="26" fillId="0" borderId="79" xfId="0" applyFont="1" applyBorder="1" applyAlignment="1">
      <alignment horizontal="center" vertical="center"/>
    </xf>
    <xf numFmtId="0" fontId="26" fillId="0" borderId="80" xfId="0" applyFont="1" applyBorder="1" applyAlignment="1">
      <alignment horizontal="center" vertical="center"/>
    </xf>
    <xf numFmtId="0" fontId="0" fillId="0" borderId="78" xfId="0" quotePrefix="1" applyBorder="1" applyAlignment="1">
      <alignment horizontal="left" vertical="center" wrapText="1"/>
    </xf>
    <xf numFmtId="0" fontId="18" fillId="10" borderId="0" xfId="0" applyFont="1" applyFill="1" applyAlignment="1">
      <alignment horizontal="left" vertical="center"/>
    </xf>
    <xf numFmtId="0" fontId="5" fillId="2" borderId="32"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30" xfId="0" applyFont="1" applyFill="1" applyBorder="1" applyAlignment="1">
      <alignment horizontal="left" vertical="center" wrapText="1"/>
    </xf>
    <xf numFmtId="0" fontId="7" fillId="2" borderId="33" xfId="0" applyFont="1" applyFill="1" applyBorder="1" applyAlignment="1" applyProtection="1">
      <alignment horizontal="left" vertical="center" wrapText="1"/>
      <protection locked="0"/>
    </xf>
    <xf numFmtId="0" fontId="7" fillId="2" borderId="32" xfId="0" applyFont="1" applyFill="1" applyBorder="1" applyAlignment="1" applyProtection="1">
      <alignment horizontal="left" vertical="center" wrapText="1"/>
      <protection locked="0"/>
    </xf>
    <xf numFmtId="0" fontId="7" fillId="2" borderId="31" xfId="0" applyFont="1" applyFill="1" applyBorder="1" applyAlignment="1" applyProtection="1">
      <alignment horizontal="left" vertical="center" wrapText="1"/>
      <protection locked="0"/>
    </xf>
    <xf numFmtId="0" fontId="7" fillId="2" borderId="23" xfId="0" applyFont="1" applyFill="1" applyBorder="1" applyAlignment="1" applyProtection="1">
      <alignment horizontal="left" vertical="center" wrapText="1"/>
      <protection locked="0"/>
    </xf>
    <xf numFmtId="0" fontId="7" fillId="2" borderId="0" xfId="0" applyFont="1" applyFill="1" applyAlignment="1" applyProtection="1">
      <alignment horizontal="left" vertical="center" wrapText="1"/>
      <protection locked="0"/>
    </xf>
    <xf numFmtId="0" fontId="7" fillId="2" borderId="30" xfId="0" applyFont="1" applyFill="1" applyBorder="1" applyAlignment="1" applyProtection="1">
      <alignment horizontal="left" vertical="center" wrapText="1"/>
      <protection locked="0"/>
    </xf>
    <xf numFmtId="0" fontId="7" fillId="2" borderId="29" xfId="0" applyFont="1" applyFill="1" applyBorder="1" applyAlignment="1" applyProtection="1">
      <alignment horizontal="left" vertical="center" wrapText="1"/>
      <protection locked="0"/>
    </xf>
    <xf numFmtId="0" fontId="7" fillId="2" borderId="28" xfId="0" applyFont="1" applyFill="1" applyBorder="1" applyAlignment="1" applyProtection="1">
      <alignment horizontal="left" vertical="center" wrapText="1"/>
      <protection locked="0"/>
    </xf>
    <xf numFmtId="0" fontId="7" fillId="2" borderId="27" xfId="0" applyFont="1" applyFill="1" applyBorder="1" applyAlignment="1" applyProtection="1">
      <alignment horizontal="left" vertical="center" wrapText="1"/>
      <protection locked="0"/>
    </xf>
    <xf numFmtId="0" fontId="11" fillId="2" borderId="0" xfId="0" applyFont="1" applyFill="1" applyAlignment="1">
      <alignment horizontal="right" vertical="center" wrapText="1"/>
    </xf>
    <xf numFmtId="0" fontId="18" fillId="9" borderId="0" xfId="0" applyFont="1" applyFill="1" applyAlignment="1">
      <alignment horizontal="left" vertical="center"/>
    </xf>
    <xf numFmtId="0" fontId="6" fillId="2" borderId="1" xfId="0" applyFont="1" applyFill="1" applyBorder="1" applyAlignment="1">
      <alignment horizontal="left" vertical="center" wrapText="1"/>
    </xf>
    <xf numFmtId="0" fontId="6" fillId="3" borderId="45" xfId="0" applyFont="1" applyFill="1" applyBorder="1" applyAlignment="1" applyProtection="1">
      <alignment horizontal="left" vertical="center"/>
      <protection locked="0"/>
    </xf>
    <xf numFmtId="0" fontId="6" fillId="2" borderId="0" xfId="0" applyFont="1" applyFill="1" applyAlignment="1">
      <alignment horizontal="left" vertical="center" wrapText="1"/>
    </xf>
    <xf numFmtId="0" fontId="9" fillId="2" borderId="23" xfId="0" applyFont="1" applyFill="1" applyBorder="1" applyAlignment="1">
      <alignment horizontal="center" vertical="center" wrapText="1"/>
    </xf>
    <xf numFmtId="0" fontId="9" fillId="2" borderId="0" xfId="0" applyFont="1" applyFill="1" applyAlignment="1">
      <alignment horizontal="center" vertical="center" wrapText="1"/>
    </xf>
    <xf numFmtId="0" fontId="12" fillId="2" borderId="33" xfId="0" applyFont="1" applyFill="1" applyBorder="1" applyAlignment="1">
      <alignment horizontal="left"/>
    </xf>
    <xf numFmtId="0" fontId="12" fillId="2" borderId="32" xfId="0" applyFont="1" applyFill="1" applyBorder="1" applyAlignment="1">
      <alignment horizontal="left"/>
    </xf>
    <xf numFmtId="0" fontId="12" fillId="2" borderId="23" xfId="0" applyFont="1" applyFill="1" applyBorder="1" applyAlignment="1">
      <alignment horizontal="left"/>
    </xf>
    <xf numFmtId="0" fontId="12" fillId="2" borderId="0" xfId="0" applyFont="1" applyFill="1" applyAlignment="1">
      <alignment horizontal="left"/>
    </xf>
    <xf numFmtId="0" fontId="6" fillId="2" borderId="12" xfId="0" applyFont="1" applyFill="1" applyBorder="1" applyAlignment="1">
      <alignment horizontal="left" vertical="center"/>
    </xf>
    <xf numFmtId="0" fontId="6" fillId="2" borderId="11" xfId="0" applyFont="1" applyFill="1" applyBorder="1" applyAlignment="1">
      <alignment horizontal="left" vertical="center"/>
    </xf>
    <xf numFmtId="0" fontId="6" fillId="2" borderId="40" xfId="0" applyFont="1" applyFill="1" applyBorder="1" applyAlignment="1">
      <alignment horizontal="left" vertical="center"/>
    </xf>
    <xf numFmtId="0" fontId="6" fillId="2" borderId="72" xfId="0" applyFont="1" applyFill="1" applyBorder="1" applyAlignment="1">
      <alignment horizontal="left" vertical="center"/>
    </xf>
    <xf numFmtId="0" fontId="6" fillId="2" borderId="37" xfId="0" applyFont="1" applyFill="1" applyBorder="1" applyAlignment="1">
      <alignment horizontal="left" vertical="center"/>
    </xf>
    <xf numFmtId="0" fontId="6" fillId="2" borderId="36" xfId="0" applyFont="1" applyFill="1" applyBorder="1" applyAlignment="1">
      <alignment horizontal="left" vertical="center"/>
    </xf>
    <xf numFmtId="0" fontId="6" fillId="2" borderId="34" xfId="0" applyFont="1" applyFill="1" applyBorder="1" applyAlignment="1">
      <alignment horizontal="center" vertical="center" wrapText="1"/>
    </xf>
    <xf numFmtId="0" fontId="3" fillId="2" borderId="34" xfId="0" applyFont="1" applyFill="1" applyBorder="1" applyAlignment="1">
      <alignment horizontal="left" vertical="center" wrapText="1"/>
    </xf>
    <xf numFmtId="0" fontId="3" fillId="2" borderId="1" xfId="0" applyFont="1" applyFill="1" applyBorder="1" applyAlignment="1">
      <alignment horizontal="left" vertical="center" wrapText="1"/>
    </xf>
    <xf numFmtId="0" fontId="16" fillId="2" borderId="0" xfId="0" applyFont="1" applyFill="1" applyAlignment="1">
      <alignment horizontal="left" vertical="center" wrapText="1"/>
    </xf>
    <xf numFmtId="0" fontId="6" fillId="2" borderId="0" xfId="0" applyFont="1" applyFill="1" applyAlignment="1">
      <alignment vertical="center" wrapText="1"/>
    </xf>
    <xf numFmtId="0" fontId="5" fillId="2" borderId="32" xfId="0" applyFont="1" applyFill="1" applyBorder="1" applyAlignment="1">
      <alignment horizontal="left" vertical="center"/>
    </xf>
    <xf numFmtId="0" fontId="5" fillId="2" borderId="0" xfId="0" applyFont="1" applyFill="1" applyAlignment="1">
      <alignment horizontal="left" vertical="center"/>
    </xf>
    <xf numFmtId="0" fontId="6" fillId="3" borderId="54" xfId="0" applyFont="1" applyFill="1" applyBorder="1" applyAlignment="1" applyProtection="1">
      <alignment horizontal="left" vertical="center"/>
      <protection locked="0"/>
    </xf>
    <xf numFmtId="0" fontId="6" fillId="3" borderId="53" xfId="0" applyFont="1" applyFill="1" applyBorder="1" applyAlignment="1" applyProtection="1">
      <alignment horizontal="left" vertical="center"/>
      <protection locked="0"/>
    </xf>
    <xf numFmtId="0" fontId="6" fillId="3" borderId="52" xfId="0" applyFont="1" applyFill="1" applyBorder="1" applyAlignment="1" applyProtection="1">
      <alignment horizontal="left" vertical="center"/>
      <protection locked="0"/>
    </xf>
    <xf numFmtId="0" fontId="6" fillId="3" borderId="50" xfId="0" applyFont="1" applyFill="1" applyBorder="1" applyAlignment="1" applyProtection="1">
      <alignment horizontal="left" vertical="center"/>
      <protection locked="0"/>
    </xf>
    <xf numFmtId="0" fontId="24" fillId="2" borderId="0" xfId="0" applyFont="1" applyFill="1" applyAlignment="1">
      <alignment horizontal="right" vertical="center" wrapText="1"/>
    </xf>
    <xf numFmtId="0" fontId="24" fillId="2" borderId="30" xfId="0" applyFont="1" applyFill="1" applyBorder="1" applyAlignment="1">
      <alignment horizontal="right" vertical="center" wrapText="1"/>
    </xf>
    <xf numFmtId="165" fontId="11" fillId="2" borderId="39" xfId="0" applyNumberFormat="1" applyFont="1" applyFill="1" applyBorder="1" applyAlignment="1">
      <alignment horizontal="center" vertical="center"/>
    </xf>
    <xf numFmtId="165" fontId="11" fillId="2" borderId="35" xfId="0" applyNumberFormat="1" applyFont="1" applyFill="1" applyBorder="1" applyAlignment="1">
      <alignment horizontal="center" vertical="center"/>
    </xf>
    <xf numFmtId="0" fontId="8" fillId="2" borderId="23" xfId="0" applyFont="1" applyFill="1" applyBorder="1" applyAlignment="1">
      <alignment horizontal="center" vertical="center" wrapText="1"/>
    </xf>
    <xf numFmtId="0" fontId="8" fillId="2" borderId="0" xfId="0" applyFont="1" applyFill="1" applyAlignment="1">
      <alignment horizontal="center" vertical="center" wrapText="1"/>
    </xf>
    <xf numFmtId="0" fontId="8" fillId="2" borderId="29" xfId="0" applyFont="1" applyFill="1" applyBorder="1" applyAlignment="1">
      <alignment horizontal="center" vertical="center" wrapText="1"/>
    </xf>
    <xf numFmtId="0" fontId="8" fillId="2" borderId="28" xfId="0" applyFont="1" applyFill="1" applyBorder="1" applyAlignment="1">
      <alignment horizontal="center" vertical="center" wrapText="1"/>
    </xf>
    <xf numFmtId="0" fontId="0" fillId="0" borderId="43" xfId="0" applyBorder="1" applyAlignment="1">
      <alignment horizontal="center"/>
    </xf>
    <xf numFmtId="0" fontId="0" fillId="0" borderId="25" xfId="0" applyBorder="1" applyAlignment="1">
      <alignment horizontal="center"/>
    </xf>
    <xf numFmtId="0" fontId="0" fillId="0" borderId="34" xfId="0"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0" fillId="0" borderId="8" xfId="0" applyBorder="1" applyAlignment="1">
      <alignment horizontal="left" wrapText="1"/>
    </xf>
    <xf numFmtId="0" fontId="0" fillId="0" borderId="22" xfId="0" applyBorder="1" applyAlignment="1">
      <alignment horizontal="left" wrapText="1"/>
    </xf>
    <xf numFmtId="0" fontId="0" fillId="0" borderId="3" xfId="0" applyBorder="1" applyAlignment="1">
      <alignment horizontal="left" wrapText="1"/>
    </xf>
    <xf numFmtId="0" fontId="0" fillId="0" borderId="7" xfId="0" applyBorder="1" applyAlignment="1">
      <alignment horizontal="left" wrapText="1"/>
    </xf>
    <xf numFmtId="0" fontId="0" fillId="0" borderId="20" xfId="0" applyBorder="1" applyAlignment="1">
      <alignment horizontal="left" wrapText="1"/>
    </xf>
    <xf numFmtId="0" fontId="0" fillId="0" borderId="24" xfId="0" applyBorder="1" applyAlignment="1">
      <alignment horizontal="left" wrapText="1"/>
    </xf>
    <xf numFmtId="0" fontId="0" fillId="0" borderId="2" xfId="0" applyBorder="1" applyAlignment="1">
      <alignment horizontal="left" wrapText="1"/>
    </xf>
    <xf numFmtId="0" fontId="0" fillId="0" borderId="25" xfId="0" applyBorder="1" applyAlignment="1">
      <alignment horizontal="left" wrapText="1"/>
    </xf>
    <xf numFmtId="0" fontId="0" fillId="0" borderId="1" xfId="0" applyBorder="1" applyAlignment="1">
      <alignment horizontal="left" wrapText="1"/>
    </xf>
  </cellXfs>
  <cellStyles count="1">
    <cellStyle name="Normal" xfId="0" builtinId="0"/>
  </cellStyles>
  <dxfs count="54">
    <dxf>
      <fill>
        <patternFill>
          <bgColor theme="0" tint="-4.9989318521683403E-2"/>
        </patternFill>
      </fill>
    </dxf>
    <dxf>
      <fill>
        <patternFill>
          <bgColor theme="0" tint="-4.9989318521683403E-2"/>
        </patternFill>
      </fill>
    </dxf>
    <dxf>
      <numFmt numFmtId="170" formatCode="h:mm:ss;@"/>
    </dxf>
    <dxf>
      <numFmt numFmtId="1" formatCode="0"/>
    </dxf>
    <dxf>
      <numFmt numFmtId="14" formatCode="0.00%"/>
    </dxf>
    <dxf>
      <numFmt numFmtId="2" formatCode="0.00"/>
    </dxf>
    <dxf>
      <numFmt numFmtId="170" formatCode="h:mm:ss;@"/>
    </dxf>
    <dxf>
      <numFmt numFmtId="1" formatCode="0"/>
    </dxf>
    <dxf>
      <numFmt numFmtId="14" formatCode="0.00%"/>
    </dxf>
    <dxf>
      <numFmt numFmtId="2" formatCode="0.0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theme="0"/>
        </patternFill>
      </fill>
      <border>
        <left/>
        <right/>
        <top/>
        <bottom/>
        <vertical/>
        <horizontal/>
      </border>
    </dxf>
    <dxf>
      <font>
        <color theme="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9E00EE"/>
      <color rgb="FFF097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chartUserShapes" Target="../drawings/drawing4.xml"/><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jpg"/><Relationship Id="rId5" Type="http://schemas.openxmlformats.org/officeDocument/2006/relationships/image" Target="../media/image8.png"/><Relationship Id="rId10" Type="http://schemas.openxmlformats.org/officeDocument/2006/relationships/image" Target="../media/image13.jpg"/><Relationship Id="rId4" Type="http://schemas.openxmlformats.org/officeDocument/2006/relationships/image" Target="../media/image7.png"/><Relationship Id="rId9" Type="http://schemas.openxmlformats.org/officeDocument/2006/relationships/image" Target="../media/image12.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4669714197394756E-2"/>
          <c:y val="0.13629547385713472"/>
          <c:w val="0.90298009574066251"/>
          <c:h val="0.57346961728456192"/>
        </c:manualLayout>
      </c:layout>
      <c:lineChart>
        <c:grouping val="standard"/>
        <c:varyColors val="0"/>
        <c:ser>
          <c:idx val="1"/>
          <c:order val="0"/>
          <c:tx>
            <c:strRef>
              <c:f>'Work sheet 1'!$G$8</c:f>
              <c:strCache>
                <c:ptCount val="1"/>
                <c:pt idx="0">
                  <c:v>Mean</c:v>
                </c:pt>
              </c:strCache>
            </c:strRef>
          </c:tx>
          <c:spPr>
            <a:ln w="19050">
              <a:solidFill>
                <a:schemeClr val="tx1"/>
              </a:solidFill>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[0]!Mean</c:f>
              <c:numCache>
                <c:formatCode>0.000</c:formatCode>
                <c:ptCount val="20"/>
                <c:pt idx="0">
                  <c:v>0.87525423728813556</c:v>
                </c:pt>
                <c:pt idx="1">
                  <c:v>0.87525423728813556</c:v>
                </c:pt>
                <c:pt idx="2">
                  <c:v>0.87525423728813556</c:v>
                </c:pt>
                <c:pt idx="3">
                  <c:v>0.87525423728813556</c:v>
                </c:pt>
                <c:pt idx="4">
                  <c:v>0.87525423728813556</c:v>
                </c:pt>
                <c:pt idx="5">
                  <c:v>0.87525423728813556</c:v>
                </c:pt>
                <c:pt idx="6">
                  <c:v>0.87525423728813556</c:v>
                </c:pt>
                <c:pt idx="7">
                  <c:v>0.87525423728813556</c:v>
                </c:pt>
                <c:pt idx="8">
                  <c:v>0.87525423728813556</c:v>
                </c:pt>
                <c:pt idx="9">
                  <c:v>0.87525423728813556</c:v>
                </c:pt>
                <c:pt idx="10">
                  <c:v>0.87525423728813556</c:v>
                </c:pt>
                <c:pt idx="11">
                  <c:v>0.87525423728813556</c:v>
                </c:pt>
                <c:pt idx="12">
                  <c:v>0.87525423728813556</c:v>
                </c:pt>
                <c:pt idx="13">
                  <c:v>0.87525423728813556</c:v>
                </c:pt>
                <c:pt idx="14">
                  <c:v>0.87525423728813556</c:v>
                </c:pt>
                <c:pt idx="15">
                  <c:v>0.87525423728813556</c:v>
                </c:pt>
                <c:pt idx="16">
                  <c:v>0.87525423728813556</c:v>
                </c:pt>
                <c:pt idx="17">
                  <c:v>0.87525423728813556</c:v>
                </c:pt>
                <c:pt idx="18">
                  <c:v>0.87525423728813556</c:v>
                </c:pt>
                <c:pt idx="19">
                  <c:v>0.87525423728813556</c:v>
                </c:pt>
              </c:numCache>
            </c:numRef>
          </c:val>
          <c:smooth val="0"/>
          <c:extLst>
            <c:ext xmlns:c16="http://schemas.microsoft.com/office/drawing/2014/chart" uri="{C3380CC4-5D6E-409C-BE32-E72D297353CC}">
              <c16:uniqueId val="{00000000-E0F5-4610-8CFC-F47DC98C00D2}"/>
            </c:ext>
          </c:extLst>
        </c:ser>
        <c:ser>
          <c:idx val="0"/>
          <c:order val="1"/>
          <c:tx>
            <c:strRef>
              <c:f>'Work sheet 1'!$D$2</c:f>
              <c:strCache>
                <c:ptCount val="1"/>
                <c:pt idx="0">
                  <c:v>within 7-Working-Days target</c:v>
                </c:pt>
              </c:strCache>
            </c:strRef>
          </c:tx>
          <c:spPr>
            <a:ln>
              <a:solidFill>
                <a:schemeClr val="bg1">
                  <a:lumMod val="65000"/>
                </a:schemeClr>
              </a:solidFill>
            </a:ln>
          </c:spPr>
          <c:marker>
            <c:symbol val="circle"/>
            <c:size val="10"/>
            <c:spPr>
              <a:solidFill>
                <a:schemeClr val="bg1">
                  <a:lumMod val="75000"/>
                </a:schemeClr>
              </a:solidFill>
              <a:ln>
                <a:solidFill>
                  <a:schemeClr val="bg1">
                    <a:lumMod val="75000"/>
                  </a:schemeClr>
                </a:solid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[0]!Measure</c:f>
              <c:numCache>
                <c:formatCode>General</c:formatCode>
                <c:ptCount val="20"/>
                <c:pt idx="0">
                  <c:v>0.77906976744186052</c:v>
                </c:pt>
                <c:pt idx="1">
                  <c:v>0.96</c:v>
                </c:pt>
                <c:pt idx="2">
                  <c:v>0.91666666666666663</c:v>
                </c:pt>
                <c:pt idx="3">
                  <c:v>0.953125</c:v>
                </c:pt>
                <c:pt idx="4">
                  <c:v>0.859375</c:v>
                </c:pt>
                <c:pt idx="5">
                  <c:v>0.86250000000000004</c:v>
                </c:pt>
                <c:pt idx="6">
                  <c:v>0.81666666666666665</c:v>
                </c:pt>
                <c:pt idx="7">
                  <c:v>0.8571428571428571</c:v>
                </c:pt>
                <c:pt idx="8">
                  <c:v>0.859375</c:v>
                </c:pt>
                <c:pt idx="9">
                  <c:v>0.94871794871794868</c:v>
                </c:pt>
                <c:pt idx="10">
                  <c:v>0.86567164179104472</c:v>
                </c:pt>
                <c:pt idx="11">
                  <c:v>0.81538461538461537</c:v>
                </c:pt>
                <c:pt idx="12">
                  <c:v>0.8764044943820225</c:v>
                </c:pt>
                <c:pt idx="13">
                  <c:v>0.81538461538461537</c:v>
                </c:pt>
                <c:pt idx="14">
                  <c:v>0.87671232876712324</c:v>
                </c:pt>
                <c:pt idx="15">
                  <c:v>0.85542168674698793</c:v>
                </c:pt>
                <c:pt idx="16">
                  <c:v>0.93150684931506844</c:v>
                </c:pt>
                <c:pt idx="17">
                  <c:v>0.90361445783132532</c:v>
                </c:pt>
                <c:pt idx="18">
                  <c:v>0.79746835443037978</c:v>
                </c:pt>
                <c:pt idx="19">
                  <c:v>0.9375</c:v>
                </c:pt>
              </c:numCache>
            </c:numRef>
          </c:val>
          <c:smooth val="0"/>
          <c:extLst>
            <c:ext xmlns:c16="http://schemas.microsoft.com/office/drawing/2014/chart" uri="{C3380CC4-5D6E-409C-BE32-E72D297353CC}">
              <c16:uniqueId val="{00000001-E0F5-4610-8CFC-F47DC98C00D2}"/>
            </c:ext>
          </c:extLst>
        </c:ser>
        <c:ser>
          <c:idx val="2"/>
          <c:order val="2"/>
          <c:tx>
            <c:v>Process limits - 3σ</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[0]!UCL</c:f>
              <c:numCache>
                <c:formatCode>0.0000</c:formatCode>
                <c:ptCount val="20"/>
                <c:pt idx="0">
                  <c:v>0.98214792042734755</c:v>
                </c:pt>
                <c:pt idx="1">
                  <c:v>0.98971868979491151</c:v>
                </c:pt>
                <c:pt idx="2">
                  <c:v>0.98341297846316877</c:v>
                </c:pt>
                <c:pt idx="3">
                  <c:v>0.99916564191456714</c:v>
                </c:pt>
                <c:pt idx="4">
                  <c:v>0.99916564191456714</c:v>
                </c:pt>
                <c:pt idx="5">
                  <c:v>0.98608396686100885</c:v>
                </c:pt>
                <c:pt idx="6">
                  <c:v>1.0032293856943593</c:v>
                </c:pt>
                <c:pt idx="7">
                  <c:v>1.0001451939533685</c:v>
                </c:pt>
                <c:pt idx="8">
                  <c:v>0.99916564191456714</c:v>
                </c:pt>
                <c:pt idx="9">
                  <c:v>0.9874958674698211</c:v>
                </c:pt>
                <c:pt idx="10">
                  <c:v>0.99635973690909929</c:v>
                </c:pt>
                <c:pt idx="11">
                  <c:v>0.9982087827714593</c:v>
                </c:pt>
                <c:pt idx="12">
                  <c:v>0.98033089825823783</c:v>
                </c:pt>
                <c:pt idx="13">
                  <c:v>0.9982087827714593</c:v>
                </c:pt>
                <c:pt idx="14">
                  <c:v>0.99127610087342743</c:v>
                </c:pt>
                <c:pt idx="15">
                  <c:v>0.9840625863529624</c:v>
                </c:pt>
                <c:pt idx="16">
                  <c:v>0.99127610087342743</c:v>
                </c:pt>
                <c:pt idx="17">
                  <c:v>0.9840625863529624</c:v>
                </c:pt>
                <c:pt idx="18">
                  <c:v>0.98678321499369326</c:v>
                </c:pt>
                <c:pt idx="19">
                  <c:v>0.98608396686100885</c:v>
                </c:pt>
              </c:numCache>
            </c:numRef>
          </c:val>
          <c:smooth val="0"/>
          <c:extLst>
            <c:ext xmlns:c16="http://schemas.microsoft.com/office/drawing/2014/chart" uri="{C3380CC4-5D6E-409C-BE32-E72D297353CC}">
              <c16:uniqueId val="{00000002-E0F5-4610-8CFC-F47DC98C00D2}"/>
            </c:ext>
          </c:extLst>
        </c:ser>
        <c:ser>
          <c:idx val="3"/>
          <c:order val="3"/>
          <c:tx>
            <c:v>LPL</c:v>
          </c:tx>
          <c:spPr>
            <a:ln w="34925">
              <a:solidFill>
                <a:schemeClr val="bg1">
                  <a:lumMod val="50000"/>
                </a:schemeClr>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[0]!LCL</c:f>
              <c:numCache>
                <c:formatCode>0.0000</c:formatCode>
                <c:ptCount val="20"/>
                <c:pt idx="0">
                  <c:v>0.76836055414892357</c:v>
                </c:pt>
                <c:pt idx="1">
                  <c:v>0.76078978478135961</c:v>
                </c:pt>
                <c:pt idx="2">
                  <c:v>0.76709549611310235</c:v>
                </c:pt>
                <c:pt idx="3">
                  <c:v>0.75134283266170399</c:v>
                </c:pt>
                <c:pt idx="4">
                  <c:v>0.75134283266170399</c:v>
                </c:pt>
                <c:pt idx="5">
                  <c:v>0.76442450771526227</c:v>
                </c:pt>
                <c:pt idx="6">
                  <c:v>0.74727908888191197</c:v>
                </c:pt>
                <c:pt idx="7">
                  <c:v>0.75036328062290258</c:v>
                </c:pt>
                <c:pt idx="8">
                  <c:v>0.75134283266170399</c:v>
                </c:pt>
                <c:pt idx="9">
                  <c:v>0.76301260710645002</c:v>
                </c:pt>
                <c:pt idx="10">
                  <c:v>0.75414873766717183</c:v>
                </c:pt>
                <c:pt idx="11">
                  <c:v>0.75229969180481182</c:v>
                </c:pt>
                <c:pt idx="12">
                  <c:v>0.7701775763180333</c:v>
                </c:pt>
                <c:pt idx="13">
                  <c:v>0.75229969180481182</c:v>
                </c:pt>
                <c:pt idx="14">
                  <c:v>0.75923237370284369</c:v>
                </c:pt>
                <c:pt idx="15">
                  <c:v>0.76644588822330872</c:v>
                </c:pt>
                <c:pt idx="16">
                  <c:v>0.75923237370284369</c:v>
                </c:pt>
                <c:pt idx="17">
                  <c:v>0.76644588822330872</c:v>
                </c:pt>
                <c:pt idx="18">
                  <c:v>0.76372525958257786</c:v>
                </c:pt>
                <c:pt idx="19">
                  <c:v>0.76442450771526227</c:v>
                </c:pt>
              </c:numCache>
            </c:numRef>
          </c:val>
          <c:smooth val="0"/>
          <c:extLst>
            <c:ext xmlns:c16="http://schemas.microsoft.com/office/drawing/2014/chart" uri="{C3380CC4-5D6E-409C-BE32-E72D297353CC}">
              <c16:uniqueId val="{00000003-E0F5-4610-8CFC-F47DC98C00D2}"/>
            </c:ext>
          </c:extLst>
        </c:ser>
        <c:ser>
          <c:idx val="4"/>
          <c:order val="4"/>
          <c:tx>
            <c:v>Special cause - concern</c:v>
          </c:tx>
          <c:spPr>
            <a:ln>
              <a:noFill/>
            </a:ln>
          </c:spPr>
          <c:marker>
            <c:symbol val="circle"/>
            <c:size val="10"/>
            <c:spPr>
              <a:solidFill>
                <a:srgbClr val="F0975A"/>
              </a:solidFill>
              <a:ln>
                <a:solidFill>
                  <a:srgbClr val="F0975A"/>
                </a:solid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[0]!SCC</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E0F5-4610-8CFC-F47DC98C00D2}"/>
            </c:ext>
          </c:extLst>
        </c:ser>
        <c:ser>
          <c:idx val="5"/>
          <c:order val="5"/>
          <c:tx>
            <c:v>Special cause  - improvement</c:v>
          </c:tx>
          <c:spPr>
            <a:ln>
              <a:noFill/>
            </a:ln>
          </c:spPr>
          <c:marker>
            <c:symbol val="circle"/>
            <c:size val="10"/>
            <c:spPr>
              <a:solidFill>
                <a:srgbClr val="00B0F0"/>
              </a:solidFill>
              <a:ln>
                <a:solidFill>
                  <a:srgbClr val="00B0F0"/>
                </a:solid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[0]!SCi</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E0F5-4610-8CFC-F47DC98C00D2}"/>
            </c:ext>
          </c:extLst>
        </c:ser>
        <c:ser>
          <c:idx val="9"/>
          <c:order val="6"/>
          <c:tx>
            <c:strRef>
              <c:f>'Work sheet 1'!$BD$6</c:f>
              <c:strCache>
                <c:ptCount val="1"/>
                <c:pt idx="0">
                  <c:v>0</c:v>
                </c:pt>
              </c:strCache>
            </c:strRef>
          </c:tx>
          <c:spPr>
            <a:ln>
              <a:noFill/>
            </a:ln>
          </c:spPr>
          <c:marker>
            <c:symbol val="square"/>
            <c:size val="12"/>
            <c:spPr>
              <a:blipFill>
                <a:blip xmlns:r="http://schemas.openxmlformats.org/officeDocument/2006/relationships" r:embed="rId1"/>
                <a:stretch>
                  <a:fillRect/>
                </a:stretch>
              </a:blipFill>
              <a:ln>
                <a:noFill/>
              </a:ln>
            </c:spPr>
          </c:marker>
          <c:dLbls>
            <c:spPr>
              <a:noFill/>
              <a:ln>
                <a:noFill/>
              </a:ln>
              <a:effectLst/>
            </c:spPr>
            <c:txPr>
              <a:bodyPr rot="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[0]!Intv1</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6-E0F5-4610-8CFC-F47DC98C00D2}"/>
            </c:ext>
          </c:extLst>
        </c:ser>
        <c:ser>
          <c:idx val="10"/>
          <c:order val="7"/>
          <c:tx>
            <c:strRef>
              <c:f>'Work sheet 1'!$BE$6</c:f>
              <c:strCache>
                <c:ptCount val="1"/>
                <c:pt idx="0">
                  <c:v>0</c:v>
                </c:pt>
              </c:strCache>
            </c:strRef>
          </c:tx>
          <c:spPr>
            <a:ln>
              <a:noFill/>
            </a:ln>
          </c:spPr>
          <c:marker>
            <c:symbol val="square"/>
            <c:size val="12"/>
            <c:spPr>
              <a:blipFill>
                <a:blip xmlns:r="http://schemas.openxmlformats.org/officeDocument/2006/relationships" r:embed="rId1"/>
                <a:stretch>
                  <a:fillRect/>
                </a:stretch>
              </a:blipFill>
              <a:ln>
                <a:noFill/>
              </a:ln>
            </c:spPr>
          </c:marker>
          <c:dLbls>
            <c:spPr>
              <a:no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[0]!Intv2</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E0F5-4610-8CFC-F47DC98C00D2}"/>
            </c:ext>
          </c:extLst>
        </c:ser>
        <c:ser>
          <c:idx val="11"/>
          <c:order val="8"/>
          <c:tx>
            <c:strRef>
              <c:f>'Work sheet 1'!$BF$6</c:f>
              <c:strCache>
                <c:ptCount val="1"/>
                <c:pt idx="0">
                  <c:v>0</c:v>
                </c:pt>
              </c:strCache>
            </c:strRef>
          </c:tx>
          <c:spPr>
            <a:ln>
              <a:noFill/>
            </a:ln>
          </c:spPr>
          <c:marker>
            <c:symbol val="square"/>
            <c:size val="12"/>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[0]!Intv3</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8-E0F5-4610-8CFC-F47DC98C00D2}"/>
            </c:ext>
          </c:extLst>
        </c:ser>
        <c:ser>
          <c:idx val="12"/>
          <c:order val="9"/>
          <c:tx>
            <c:strRef>
              <c:f>'Work sheet 1'!$BG$6</c:f>
              <c:strCache>
                <c:ptCount val="1"/>
                <c:pt idx="0">
                  <c:v>0</c:v>
                </c:pt>
              </c:strCache>
            </c:strRef>
          </c:tx>
          <c:spPr>
            <a:ln>
              <a:noFill/>
            </a:ln>
          </c:spPr>
          <c:marker>
            <c:symbol val="square"/>
            <c:size val="11"/>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[0]!Intv4</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9-E0F5-4610-8CFC-F47DC98C00D2}"/>
            </c:ext>
          </c:extLst>
        </c:ser>
        <c:ser>
          <c:idx val="13"/>
          <c:order val="10"/>
          <c:tx>
            <c:strRef>
              <c:f>'Work sheet 1'!$BH$6</c:f>
              <c:strCache>
                <c:ptCount val="1"/>
                <c:pt idx="0">
                  <c:v>0</c:v>
                </c:pt>
              </c:strCache>
            </c:strRef>
          </c:tx>
          <c:spPr>
            <a:ln>
              <a:noFill/>
            </a:ln>
          </c:spPr>
          <c:marker>
            <c:symbol val="square"/>
            <c:size val="12"/>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[0]!Intv5</c:f>
              <c:numCache>
                <c:formatCode>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A-E0F5-4610-8CFC-F47DC98C00D2}"/>
            </c:ext>
          </c:extLst>
        </c:ser>
        <c:ser>
          <c:idx val="14"/>
          <c:order val="11"/>
          <c:tx>
            <c:strRef>
              <c:f>'Work sheet 1'!$BJ$6</c:f>
              <c:strCache>
                <c:ptCount val="1"/>
              </c:strCache>
            </c:strRef>
          </c:tx>
          <c:spPr>
            <a:ln>
              <a:noFill/>
            </a:ln>
          </c:spPr>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[0]!Change_1</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B-E0F5-4610-8CFC-F47DC98C00D2}"/>
            </c:ext>
          </c:extLst>
        </c:ser>
        <c:ser>
          <c:idx val="15"/>
          <c:order val="12"/>
          <c:tx>
            <c:strRef>
              <c:f>'Work sheet 1'!$BK$6</c:f>
              <c:strCache>
                <c:ptCount val="1"/>
              </c:strCache>
            </c:strRef>
          </c:tx>
          <c:spPr>
            <a:ln>
              <a:noFill/>
            </a:ln>
          </c:spPr>
          <c:marker>
            <c:symbol val="square"/>
            <c:size val="12"/>
            <c:spPr>
              <a:blipFill>
                <a:blip xmlns:r="http://schemas.openxmlformats.org/officeDocument/2006/relationships" r:embed="rId1"/>
                <a:stretch>
                  <a:fillRect/>
                </a:stretch>
              </a:blipFill>
              <a:ln>
                <a:noFill/>
              </a:ln>
            </c:spPr>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[0]!Change_2</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C-E0F5-4610-8CFC-F47DC98C00D2}"/>
            </c:ext>
          </c:extLst>
        </c:ser>
        <c:ser>
          <c:idx val="16"/>
          <c:order val="13"/>
          <c:tx>
            <c:v>Target</c:v>
          </c:tx>
          <c:spPr>
            <a:ln>
              <a:solidFill>
                <a:srgbClr val="FF0000"/>
              </a:solidFill>
              <a:prstDash val="dash"/>
            </a:ln>
          </c:spPr>
          <c:marker>
            <c:symbol val="none"/>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[0]!Target</c:f>
              <c:numCache>
                <c:formatCode>General</c:formatCode>
                <c:ptCount val="20"/>
                <c:pt idx="0">
                  <c:v>0.9</c:v>
                </c:pt>
                <c:pt idx="1">
                  <c:v>0.9</c:v>
                </c:pt>
                <c:pt idx="2">
                  <c:v>0.9</c:v>
                </c:pt>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numCache>
            </c:numRef>
          </c:val>
          <c:smooth val="0"/>
          <c:extLst>
            <c:ext xmlns:c16="http://schemas.microsoft.com/office/drawing/2014/chart" uri="{C3380CC4-5D6E-409C-BE32-E72D297353CC}">
              <c16:uniqueId val="{0000000D-E0F5-4610-8CFC-F47DC98C00D2}"/>
            </c:ext>
          </c:extLst>
        </c:ser>
        <c:ser>
          <c:idx val="6"/>
          <c:order val="14"/>
          <c:tx>
            <c:v>ICON CC</c:v>
          </c:tx>
          <c:spPr>
            <a:ln>
              <a:noFill/>
            </a:ln>
          </c:spPr>
          <c:marker>
            <c:symbol val="circle"/>
            <c:size val="30"/>
            <c:spPr>
              <a:blipFill>
                <a:blip xmlns:r="http://schemas.openxmlformats.org/officeDocument/2006/relationships" r:embed="rId2"/>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[0]!I_CC</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1.0397937138104232</c:v>
                </c:pt>
              </c:numCache>
            </c:numRef>
          </c:val>
          <c:smooth val="0"/>
          <c:extLst>
            <c:ext xmlns:c16="http://schemas.microsoft.com/office/drawing/2014/chart" uri="{C3380CC4-5D6E-409C-BE32-E72D297353CC}">
              <c16:uniqueId val="{00000010-E0F5-4610-8CFC-F47DC98C00D2}"/>
            </c:ext>
          </c:extLst>
        </c:ser>
        <c:ser>
          <c:idx val="7"/>
          <c:order val="15"/>
          <c:tx>
            <c:v>I_SCIH</c:v>
          </c:tx>
          <c:spPr>
            <a:ln>
              <a:noFill/>
            </a:ln>
          </c:spPr>
          <c:marker>
            <c:symbol val="circle"/>
            <c:size val="30"/>
            <c:spPr>
              <a:blipFill>
                <a:blip xmlns:r="http://schemas.openxmlformats.org/officeDocument/2006/relationships" r:embed="rId3"/>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2-E0F5-4610-8CFC-F47DC98C00D2}"/>
            </c:ext>
          </c:extLst>
        </c:ser>
        <c:ser>
          <c:idx val="8"/>
          <c:order val="16"/>
          <c:tx>
            <c:v>I_SCCH</c:v>
          </c:tx>
          <c:spPr>
            <a:ln>
              <a:noFill/>
            </a:ln>
          </c:spPr>
          <c:marker>
            <c:symbol val="circle"/>
            <c:size val="30"/>
            <c:spPr>
              <a:blipFill>
                <a:blip xmlns:r="http://schemas.openxmlformats.org/officeDocument/2006/relationships" r:embed="rId4"/>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[0]!I_SCCH</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5-E0F5-4610-8CFC-F47DC98C00D2}"/>
            </c:ext>
          </c:extLst>
        </c:ser>
        <c:ser>
          <c:idx val="17"/>
          <c:order val="17"/>
          <c:tx>
            <c:v>I_SCCL</c:v>
          </c:tx>
          <c:spPr>
            <a:ln>
              <a:noFill/>
            </a:ln>
          </c:spPr>
          <c:marker>
            <c:symbol val="circle"/>
            <c:size val="30"/>
            <c:spPr>
              <a:blipFill>
                <a:blip xmlns:r="http://schemas.openxmlformats.org/officeDocument/2006/relationships" r:embed="rId5"/>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[0]!I_SCCL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7-E0F5-4610-8CFC-F47DC98C00D2}"/>
            </c:ext>
          </c:extLst>
        </c:ser>
        <c:ser>
          <c:idx val="18"/>
          <c:order val="18"/>
          <c:tx>
            <c:v>I_SCIL</c:v>
          </c:tx>
          <c:spPr>
            <a:ln>
              <a:noFill/>
            </a:ln>
          </c:spPr>
          <c:marker>
            <c:symbol val="circle"/>
            <c:size val="30"/>
            <c:spPr>
              <a:blipFill>
                <a:blip xmlns:r="http://schemas.openxmlformats.org/officeDocument/2006/relationships" r:embed="rId6"/>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[0]!I_SCIL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9-E0F5-4610-8CFC-F47DC98C00D2}"/>
            </c:ext>
          </c:extLst>
        </c:ser>
        <c:ser>
          <c:idx val="19"/>
          <c:order val="19"/>
          <c:tx>
            <c:v>I_PAss</c:v>
          </c:tx>
          <c:spPr>
            <a:ln>
              <a:noFill/>
            </a:ln>
          </c:spPr>
          <c:marker>
            <c:symbol val="circle"/>
            <c:size val="30"/>
            <c:spPr>
              <a:blipFill>
                <a:blip xmlns:r="http://schemas.openxmlformats.org/officeDocument/2006/relationships" r:embed="rId7"/>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[0]!I_Pass</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A-E0F5-4610-8CFC-F47DC98C00D2}"/>
            </c:ext>
          </c:extLst>
        </c:ser>
        <c:ser>
          <c:idx val="20"/>
          <c:order val="20"/>
          <c:tx>
            <c:v>I_Fail</c:v>
          </c:tx>
          <c:spPr>
            <a:ln>
              <a:noFill/>
            </a:ln>
          </c:spPr>
          <c:marker>
            <c:symbol val="circle"/>
            <c:size val="30"/>
            <c:spPr>
              <a:blipFill>
                <a:blip xmlns:r="http://schemas.openxmlformats.org/officeDocument/2006/relationships" r:embed="rId8"/>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[0]!I_Fail</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B-E0F5-4610-8CFC-F47DC98C00D2}"/>
            </c:ext>
          </c:extLst>
        </c:ser>
        <c:ser>
          <c:idx val="21"/>
          <c:order val="21"/>
          <c:tx>
            <c:v>I_Flip</c:v>
          </c:tx>
          <c:spPr>
            <a:ln>
              <a:noFill/>
            </a:ln>
          </c:spPr>
          <c:marker>
            <c:symbol val="circle"/>
            <c:size val="30"/>
            <c:spPr>
              <a:blipFill>
                <a:blip xmlns:r="http://schemas.openxmlformats.org/officeDocument/2006/relationships" r:embed="rId9"/>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[0]!I_Flip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1.0397937138104232</c:v>
                </c:pt>
                <c:pt idx="19">
                  <c:v>#N/A</c:v>
                </c:pt>
              </c:numCache>
            </c:numRef>
          </c:val>
          <c:smooth val="0"/>
          <c:extLst>
            <c:ext xmlns:c16="http://schemas.microsoft.com/office/drawing/2014/chart" uri="{C3380CC4-5D6E-409C-BE32-E72D297353CC}">
              <c16:uniqueId val="{0000001C-E0F5-4610-8CFC-F47DC98C00D2}"/>
            </c:ext>
          </c:extLst>
        </c:ser>
        <c:ser>
          <c:idx val="22"/>
          <c:order val="22"/>
          <c:tx>
            <c:strRef>
              <c:f>'Work sheet 1'!$BL$6</c:f>
              <c:strCache>
                <c:ptCount val="1"/>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D-E0F5-4610-8CFC-F47DC98C00D2}"/>
            </c:ext>
          </c:extLst>
        </c:ser>
        <c:ser>
          <c:idx val="23"/>
          <c:order val="23"/>
          <c:tx>
            <c:strRef>
              <c:f>'Work sheet 1'!$BM$6</c:f>
              <c:strCache>
                <c:ptCount val="1"/>
              </c:strCache>
            </c:strRef>
          </c:tx>
          <c:marker>
            <c:symbol val="none"/>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[0]!change_4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1E-E0F5-4610-8CFC-F47DC98C00D2}"/>
            </c:ext>
          </c:extLst>
        </c:ser>
        <c:ser>
          <c:idx val="24"/>
          <c:order val="24"/>
          <c:tx>
            <c:v>Neither UP</c:v>
          </c:tx>
          <c:spPr>
            <a:ln>
              <a:noFill/>
            </a:ln>
          </c:spPr>
          <c:marker>
            <c:symbol val="circle"/>
            <c:size val="30"/>
            <c:spPr>
              <a:blipFill>
                <a:blip xmlns:r="http://schemas.openxmlformats.org/officeDocument/2006/relationships" r:embed="rId10"/>
                <a:stretch>
                  <a:fillRect/>
                </a:stretch>
              </a:blip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[0]!NeitherUP</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4-683E-4C4F-B426-BD35F915C167}"/>
            </c:ext>
          </c:extLst>
        </c:ser>
        <c:ser>
          <c:idx val="25"/>
          <c:order val="25"/>
          <c:tx>
            <c:v>Neither Down</c:v>
          </c:tx>
          <c:spPr>
            <a:ln>
              <a:noFill/>
            </a:ln>
          </c:spPr>
          <c:marker>
            <c:symbol val="circle"/>
            <c:size val="30"/>
            <c:spPr>
              <a:blipFill>
                <a:blip xmlns:r="http://schemas.openxmlformats.org/officeDocument/2006/relationships" r:embed="rId11"/>
                <a:stretch>
                  <a:fillRect/>
                </a:stretch>
              </a:blipFill>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[0]!NeitherDOWN</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5-683E-4C4F-B426-BD35F915C167}"/>
            </c:ext>
          </c:extLst>
        </c:ser>
        <c:ser>
          <c:idx val="26"/>
          <c:order val="26"/>
          <c:tx>
            <c:v>Neither</c:v>
          </c:tx>
          <c:spPr>
            <a:ln>
              <a:noFill/>
            </a:ln>
          </c:spPr>
          <c:marker>
            <c:symbol val="circle"/>
            <c:size val="10"/>
            <c:spPr>
              <a:solidFill>
                <a:srgbClr val="9E00EE"/>
              </a:solidFill>
              <a:ln>
                <a:noFill/>
              </a:ln>
            </c:spPr>
          </c:marker>
          <c:cat>
            <c:numRef>
              <c:f>[0]!X_Axis</c:f>
              <c:numCache>
                <c:formatCode>m/d/yyyy</c:formatCode>
                <c:ptCount val="20"/>
                <c:pt idx="0">
                  <c:v>45565</c:v>
                </c:pt>
                <c:pt idx="1">
                  <c:v>45572</c:v>
                </c:pt>
                <c:pt idx="2">
                  <c:v>45579</c:v>
                </c:pt>
                <c:pt idx="3">
                  <c:v>45586</c:v>
                </c:pt>
                <c:pt idx="4">
                  <c:v>45593</c:v>
                </c:pt>
                <c:pt idx="5">
                  <c:v>45600</c:v>
                </c:pt>
                <c:pt idx="6">
                  <c:v>45607</c:v>
                </c:pt>
                <c:pt idx="7">
                  <c:v>45614</c:v>
                </c:pt>
                <c:pt idx="8">
                  <c:v>45621</c:v>
                </c:pt>
                <c:pt idx="9">
                  <c:v>45628</c:v>
                </c:pt>
                <c:pt idx="10">
                  <c:v>45635</c:v>
                </c:pt>
                <c:pt idx="11">
                  <c:v>45642</c:v>
                </c:pt>
                <c:pt idx="12">
                  <c:v>45649</c:v>
                </c:pt>
                <c:pt idx="13">
                  <c:v>45656</c:v>
                </c:pt>
                <c:pt idx="14">
                  <c:v>45663</c:v>
                </c:pt>
                <c:pt idx="15">
                  <c:v>45670</c:v>
                </c:pt>
                <c:pt idx="16">
                  <c:v>45677</c:v>
                </c:pt>
                <c:pt idx="17">
                  <c:v>45684</c:v>
                </c:pt>
                <c:pt idx="18">
                  <c:v>45691</c:v>
                </c:pt>
                <c:pt idx="19">
                  <c:v>45698</c:v>
                </c:pt>
              </c:numCache>
            </c:numRef>
          </c:cat>
          <c:val>
            <c:numRef>
              <c:f>[0]!SCC_Neither</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7-683E-4C4F-B426-BD35F915C167}"/>
            </c:ext>
          </c:extLst>
        </c:ser>
        <c:dLbls>
          <c:showLegendKey val="0"/>
          <c:showVal val="0"/>
          <c:showCatName val="0"/>
          <c:showSerName val="0"/>
          <c:showPercent val="0"/>
          <c:showBubbleSize val="0"/>
        </c:dLbls>
        <c:smooth val="0"/>
        <c:axId val="148666624"/>
        <c:axId val="148668800"/>
      </c:lineChart>
      <c:catAx>
        <c:axId val="148666624"/>
        <c:scaling>
          <c:orientation val="minMax"/>
        </c:scaling>
        <c:delete val="0"/>
        <c:axPos val="b"/>
        <c:numFmt formatCode="m/d/yyyy" sourceLinked="0"/>
        <c:majorTickMark val="none"/>
        <c:minorTickMark val="none"/>
        <c:tickLblPos val="nextTo"/>
        <c:txPr>
          <a:bodyPr rot="-5400000" vert="horz"/>
          <a:lstStyle/>
          <a:p>
            <a:pPr>
              <a:defRPr/>
            </a:pPr>
            <a:endParaRPr lang="en-US"/>
          </a:p>
        </c:txPr>
        <c:crossAx val="148668800"/>
        <c:crosses val="autoZero"/>
        <c:auto val="0"/>
        <c:lblAlgn val="ctr"/>
        <c:lblOffset val="100"/>
        <c:noMultiLvlLbl val="1"/>
      </c:catAx>
      <c:valAx>
        <c:axId val="148668800"/>
        <c:scaling>
          <c:orientation val="minMax"/>
          <c:max val="1.05"/>
          <c:min val="0"/>
        </c:scaling>
        <c:delete val="0"/>
        <c:axPos val="l"/>
        <c:majorGridlines>
          <c:spPr>
            <a:ln>
              <a:solidFill>
                <a:schemeClr val="bg1">
                  <a:lumMod val="75000"/>
                </a:schemeClr>
              </a:solidFill>
            </a:ln>
          </c:spPr>
        </c:majorGridlines>
        <c:numFmt formatCode="0%" sourceLinked="0"/>
        <c:majorTickMark val="none"/>
        <c:minorTickMark val="none"/>
        <c:tickLblPos val="nextTo"/>
        <c:spPr>
          <a:ln w="9525">
            <a:noFill/>
          </a:ln>
        </c:spPr>
        <c:crossAx val="148666624"/>
        <c:crosses val="autoZero"/>
        <c:crossBetween val="between"/>
      </c:valAx>
    </c:plotArea>
    <c:legend>
      <c:legendPos val="b"/>
      <c:legendEntry>
        <c:idx val="3"/>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ayout>
        <c:manualLayout>
          <c:xMode val="edge"/>
          <c:yMode val="edge"/>
          <c:x val="0"/>
          <c:y val="0.89527984755994539"/>
          <c:w val="0.99856317547722939"/>
          <c:h val="0.10178113633008067"/>
        </c:manualLayout>
      </c:layout>
      <c:overlay val="0"/>
    </c:legend>
    <c:plotVisOnly val="1"/>
    <c:dispBlanksAs val="gap"/>
    <c:showDLblsOverMax val="0"/>
  </c:chart>
  <c:spPr>
    <a:ln w="1905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2"/>
</c:chartSpace>
</file>

<file path=xl/ctrlProps/ctrlProp1.xml><?xml version="1.0" encoding="utf-8"?>
<formControlPr xmlns="http://schemas.microsoft.com/office/spreadsheetml/2009/9/main" objectType="Drop" dropStyle="combo" dx="16" fmlaLink="'Work sheet 1'!$BD$5" fmlaRange="X_Axis" noThreeD="1" sel="17" val="9"/>
</file>

<file path=xl/ctrlProps/ctrlProp2.xml><?xml version="1.0" encoding="utf-8"?>
<formControlPr xmlns="http://schemas.microsoft.com/office/spreadsheetml/2009/9/main" objectType="Drop" dropStyle="combo" dx="16" fmlaLink="'Work sheet 1'!$BE$5" fmlaRange="X_Axis" noThreeD="1" sel="18" val="12"/>
</file>

<file path=xl/ctrlProps/ctrlProp3.xml><?xml version="1.0" encoding="utf-8"?>
<formControlPr xmlns="http://schemas.microsoft.com/office/spreadsheetml/2009/9/main" objectType="Drop" dropStyle="combo" dx="16" fmlaLink="'Work sheet 1'!$BF$5" fmlaRange="X_Axis" noThreeD="1" sel="20" val="0"/>
</file>

<file path=xl/ctrlProps/ctrlProp4.xml><?xml version="1.0" encoding="utf-8"?>
<formControlPr xmlns="http://schemas.microsoft.com/office/spreadsheetml/2009/9/main" objectType="Drop" dropStyle="combo" dx="16" fmlaLink="'Work sheet 1'!$BG$5" fmlaRange="X_Axis" noThreeD="1" sel="20" val="0"/>
</file>

<file path=xl/ctrlProps/ctrlProp5.xml><?xml version="1.0" encoding="utf-8"?>
<formControlPr xmlns="http://schemas.microsoft.com/office/spreadsheetml/2009/9/main" objectType="Drop" dropStyle="combo" dx="16" fmlaLink="'Work sheet 1'!$BH$5" fmlaRange="X_Axis" noThreeD="1" sel="20" val="0"/>
</file>

<file path=xl/ctrlProps/ctrlProp6.xml><?xml version="1.0" encoding="utf-8"?>
<formControlPr xmlns="http://schemas.microsoft.com/office/spreadsheetml/2009/9/main" objectType="Drop" dropStyle="combo" dx="16" fmlaLink="'Work sheet 1'!$BJ$5" fmlaRange="X_Axis" noThreeD="1" sel="20" val="0"/>
</file>

<file path=xl/ctrlProps/ctrlProp7.xml><?xml version="1.0" encoding="utf-8"?>
<formControlPr xmlns="http://schemas.microsoft.com/office/spreadsheetml/2009/9/main" objectType="Drop" dropStyle="combo" dx="16" fmlaLink="'Work sheet 1'!$BK$5" fmlaRange="X_Axis" noThreeD="1" sel="20" val="0"/>
</file>

<file path=xl/ctrlProps/ctrlProp8.xml><?xml version="1.0" encoding="utf-8"?>
<formControlPr xmlns="http://schemas.microsoft.com/office/spreadsheetml/2009/9/main" objectType="Drop" dropStyle="combo" dx="16" fmlaLink="'Work sheet 1'!$BL$5" fmlaRange="X_Axis" noThreeD="1" sel="20" val="0"/>
</file>

<file path=xl/ctrlProps/ctrlProp9.xml><?xml version="1.0" encoding="utf-8"?>
<formControlPr xmlns="http://schemas.microsoft.com/office/spreadsheetml/2009/9/main" objectType="Drop" dropStyle="combo" dx="16" fmlaLink="'Work sheet 1'!$BM$5" fmlaRange="X_Axis" noThreeD="1" sel="2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hyperlink" Target="#'Front sheet'!A1"/><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Instructions!A1"/><Relationship Id="rId1" Type="http://schemas.openxmlformats.org/officeDocument/2006/relationships/chart" Target="../charts/chart1.xml"/><Relationship Id="rId5" Type="http://schemas.microsoft.com/office/2007/relationships/hdphoto" Target="../media/hdphoto1.wdp"/><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7</xdr:col>
      <xdr:colOff>330476</xdr:colOff>
      <xdr:row>1</xdr:row>
      <xdr:rowOff>0</xdr:rowOff>
    </xdr:from>
    <xdr:to>
      <xdr:col>9</xdr:col>
      <xdr:colOff>0</xdr:colOff>
      <xdr:row>2</xdr:row>
      <xdr:rowOff>0</xdr:rowOff>
    </xdr:to>
    <xdr:pic>
      <xdr:nvPicPr>
        <xdr:cNvPr id="2" name="Picture 1">
          <a:extLst>
            <a:ext uri="{FF2B5EF4-FFF2-40B4-BE49-F238E27FC236}">
              <a16:creationId xmlns:a16="http://schemas.microsoft.com/office/drawing/2014/main" id="{BD11D546-89E4-4B3B-A0EE-222146C63CB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97801" y="171450"/>
          <a:ext cx="831574"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1338451</xdr:colOff>
      <xdr:row>34</xdr:row>
      <xdr:rowOff>0</xdr:rowOff>
    </xdr:from>
    <xdr:to>
      <xdr:col>13</xdr:col>
      <xdr:colOff>0</xdr:colOff>
      <xdr:row>37</xdr:row>
      <xdr:rowOff>32326</xdr:rowOff>
    </xdr:to>
    <xdr:sp macro="" textlink="">
      <xdr:nvSpPr>
        <xdr:cNvPr id="3" name="Rectangle 2">
          <a:hlinkClick xmlns:r="http://schemas.openxmlformats.org/officeDocument/2006/relationships" r:id="rId1" tooltip="Click to go to data entry page"/>
          <a:extLst>
            <a:ext uri="{FF2B5EF4-FFF2-40B4-BE49-F238E27FC236}">
              <a16:creationId xmlns:a16="http://schemas.microsoft.com/office/drawing/2014/main" id="{00000000-0008-0000-0100-000003000000}"/>
            </a:ext>
          </a:extLst>
        </xdr:cNvPr>
        <xdr:cNvSpPr/>
      </xdr:nvSpPr>
      <xdr:spPr>
        <a:xfrm>
          <a:off x="6751826" y="5638800"/>
          <a:ext cx="1458724" cy="629226"/>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Go </a:t>
          </a:r>
          <a:r>
            <a:rPr lang="en-GB" sz="1200" b="1" i="0" baseline="0">
              <a:latin typeface="Arial" panose="020B0604020202020204" pitchFamily="34" charset="0"/>
              <a:cs typeface="Arial" panose="020B0604020202020204" pitchFamily="34" charset="0"/>
            </a:rPr>
            <a:t>to tool</a:t>
          </a:r>
          <a:endParaRPr lang="en-GB" sz="1200" b="1" i="0">
            <a:latin typeface="Arial" panose="020B0604020202020204" pitchFamily="34" charset="0"/>
            <a:cs typeface="Arial" panose="020B0604020202020204" pitchFamily="34" charset="0"/>
          </a:endParaRPr>
        </a:p>
      </xdr:txBody>
    </xdr:sp>
    <xdr:clientData fPrintsWithSheet="0"/>
  </xdr:twoCellAnchor>
  <xdr:twoCellAnchor editAs="oneCell">
    <xdr:from>
      <xdr:col>12</xdr:col>
      <xdr:colOff>131110</xdr:colOff>
      <xdr:row>76</xdr:row>
      <xdr:rowOff>93383</xdr:rowOff>
    </xdr:from>
    <xdr:to>
      <xdr:col>16</xdr:col>
      <xdr:colOff>16968</xdr:colOff>
      <xdr:row>77</xdr:row>
      <xdr:rowOff>131779</xdr:rowOff>
    </xdr:to>
    <xdr:pic>
      <xdr:nvPicPr>
        <xdr:cNvPr id="4" name="Picture 3" descr="Creative Commons Licence">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2404" y="14100736"/>
          <a:ext cx="984035" cy="225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134747</xdr:colOff>
      <xdr:row>2</xdr:row>
      <xdr:rowOff>0</xdr:rowOff>
    </xdr:from>
    <xdr:to>
      <xdr:col>14</xdr:col>
      <xdr:colOff>0</xdr:colOff>
      <xdr:row>2</xdr:row>
      <xdr:rowOff>368300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6041" y="276412"/>
          <a:ext cx="888724"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201705</xdr:colOff>
      <xdr:row>67</xdr:row>
      <xdr:rowOff>27163</xdr:rowOff>
    </xdr:from>
    <xdr:to>
      <xdr:col>11</xdr:col>
      <xdr:colOff>1785469</xdr:colOff>
      <xdr:row>75</xdr:row>
      <xdr:rowOff>119530</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64234" y="12353634"/>
          <a:ext cx="5752353" cy="15864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15</xdr:col>
      <xdr:colOff>7407</xdr:colOff>
      <xdr:row>8</xdr:row>
      <xdr:rowOff>7409</xdr:rowOff>
    </xdr:from>
    <xdr:to>
      <xdr:col>26</xdr:col>
      <xdr:colOff>83343</xdr:colOff>
      <xdr:row>28</xdr:row>
      <xdr:rowOff>116417</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1375863</xdr:colOff>
      <xdr:row>5</xdr:row>
      <xdr:rowOff>0</xdr:rowOff>
    </xdr:from>
    <xdr:to>
      <xdr:col>25</xdr:col>
      <xdr:colOff>857250</xdr:colOff>
      <xdr:row>6</xdr:row>
      <xdr:rowOff>254250</xdr:rowOff>
    </xdr:to>
    <xdr:sp macro="[0]!Clear_all" textlink="">
      <xdr:nvSpPr>
        <xdr:cNvPr id="3" name="Rectangle 2">
          <a:extLst>
            <a:ext uri="{FF2B5EF4-FFF2-40B4-BE49-F238E27FC236}">
              <a16:creationId xmlns:a16="http://schemas.microsoft.com/office/drawing/2014/main" id="{00000000-0008-0000-0200-000003000000}"/>
            </a:ext>
          </a:extLst>
        </xdr:cNvPr>
        <xdr:cNvSpPr/>
      </xdr:nvSpPr>
      <xdr:spPr>
        <a:xfrm flipH="1">
          <a:off x="17139738" y="857250"/>
          <a:ext cx="1076825" cy="540000"/>
        </a:xfrm>
        <a:prstGeom prst="rect">
          <a:avLst/>
        </a:prstGeom>
        <a:solidFill>
          <a:srgbClr val="0072CE"/>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data</a:t>
          </a:r>
        </a:p>
      </xdr:txBody>
    </xdr:sp>
    <xdr:clientData fPrintsWithSheet="0"/>
  </xdr:twoCellAnchor>
  <xdr:twoCellAnchor>
    <xdr:from>
      <xdr:col>24</xdr:col>
      <xdr:colOff>0</xdr:colOff>
      <xdr:row>2</xdr:row>
      <xdr:rowOff>0</xdr:rowOff>
    </xdr:from>
    <xdr:to>
      <xdr:col>24</xdr:col>
      <xdr:colOff>1060950</xdr:colOff>
      <xdr:row>4</xdr:row>
      <xdr:rowOff>152650</xdr:rowOff>
    </xdr:to>
    <xdr:sp macro="" textlink="">
      <xdr:nvSpPr>
        <xdr:cNvPr id="5" name="Rectangle 4">
          <a:hlinkClick xmlns:r="http://schemas.openxmlformats.org/officeDocument/2006/relationships" r:id="rId2" tooltip="Click here to view instruction sheet"/>
          <a:extLst>
            <a:ext uri="{FF2B5EF4-FFF2-40B4-BE49-F238E27FC236}">
              <a16:creationId xmlns:a16="http://schemas.microsoft.com/office/drawing/2014/main" id="{00000000-0008-0000-0200-000005000000}"/>
            </a:ext>
          </a:extLst>
        </xdr:cNvPr>
        <xdr:cNvSpPr/>
      </xdr:nvSpPr>
      <xdr:spPr>
        <a:xfrm>
          <a:off x="15763875" y="190500"/>
          <a:ext cx="1060950" cy="533650"/>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Instruction sheet</a:t>
          </a:r>
        </a:p>
      </xdr:txBody>
    </xdr:sp>
    <xdr:clientData fPrintsWithSheet="0"/>
  </xdr:twoCellAnchor>
  <xdr:oneCellAnchor>
    <xdr:from>
      <xdr:col>3</xdr:col>
      <xdr:colOff>359831</xdr:colOff>
      <xdr:row>40</xdr:row>
      <xdr:rowOff>107951</xdr:rowOff>
    </xdr:from>
    <xdr:ext cx="226219" cy="267446"/>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502831" y="7343776"/>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panose="02040503050406030204" pitchFamily="18" charset="0"/>
                          </a:rPr>
                        </m:ctrlPr>
                      </m:accPr>
                      <m:e>
                        <m:r>
                          <a:rPr lang="en-GB" sz="1100" b="0" i="1">
                            <a:latin typeface="Cambria Math"/>
                          </a:rPr>
                          <m:t>𝑋</m:t>
                        </m:r>
                      </m:e>
                    </m:acc>
                  </m:oMath>
                </m:oMathPara>
              </a14:m>
              <a:endParaRPr lang="en-GB" sz="1100"/>
            </a:p>
          </xdr:txBody>
        </xdr:sp>
      </mc:Choice>
      <mc:Fallback xmlns="">
        <xdr:sp macro="" textlink="">
          <xdr:nvSpPr>
            <xdr:cNvPr id="6" name="TextBox 5">
              <a:extLst>
                <a:ext uri="{FF2B5EF4-FFF2-40B4-BE49-F238E27FC236}">
                  <a16:creationId xmlns:a16="http://schemas.microsoft.com/office/drawing/2014/main" id="{05B1E098-901D-4544-A92C-B4266071E722}"/>
                </a:ext>
              </a:extLst>
            </xdr:cNvPr>
            <xdr:cNvSpPr txBox="1"/>
          </xdr:nvSpPr>
          <xdr:spPr>
            <a:xfrm>
              <a:off x="1502831" y="7343776"/>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a:t>
              </a:r>
              <a:r>
                <a:rPr lang="en-GB" sz="1100" b="0" i="0">
                  <a:latin typeface="Cambria Math" panose="02040503050406030204" pitchFamily="18" charset="0"/>
                </a:rPr>
                <a:t> ̅</a:t>
              </a:r>
              <a:endParaRPr lang="en-GB" sz="1100"/>
            </a:p>
          </xdr:txBody>
        </xdr:sp>
      </mc:Fallback>
    </mc:AlternateContent>
    <xdr:clientData/>
  </xdr:oneCellAnchor>
  <xdr:twoCellAnchor>
    <xdr:from>
      <xdr:col>24</xdr:col>
      <xdr:colOff>1379039</xdr:colOff>
      <xdr:row>2</xdr:row>
      <xdr:rowOff>0</xdr:rowOff>
    </xdr:from>
    <xdr:to>
      <xdr:col>25</xdr:col>
      <xdr:colOff>857251</xdr:colOff>
      <xdr:row>4</xdr:row>
      <xdr:rowOff>139700</xdr:rowOff>
    </xdr:to>
    <xdr:sp macro="[0]!ExportSingleChart" textlink="">
      <xdr:nvSpPr>
        <xdr:cNvPr id="7" name="Rectangle 6">
          <a:extLst>
            <a:ext uri="{FF2B5EF4-FFF2-40B4-BE49-F238E27FC236}">
              <a16:creationId xmlns:a16="http://schemas.microsoft.com/office/drawing/2014/main" id="{00000000-0008-0000-0200-000007000000}"/>
            </a:ext>
          </a:extLst>
        </xdr:cNvPr>
        <xdr:cNvSpPr/>
      </xdr:nvSpPr>
      <xdr:spPr>
        <a:xfrm>
          <a:off x="17142914" y="190500"/>
          <a:ext cx="1073650" cy="520700"/>
        </a:xfrm>
        <a:prstGeom prst="rect">
          <a:avLst/>
        </a:prstGeom>
        <a:solidFill>
          <a:srgbClr val="41B6E6"/>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Export to</a:t>
          </a:r>
          <a:r>
            <a:rPr lang="en-GB" sz="1200" b="1" i="0" baseline="0">
              <a:latin typeface="Arial" panose="020B0604020202020204" pitchFamily="34" charset="0"/>
              <a:cs typeface="Arial" panose="020B0604020202020204" pitchFamily="34" charset="0"/>
            </a:rPr>
            <a:t> power point</a:t>
          </a:r>
          <a:endParaRPr lang="en-GB" sz="1200" b="1" i="0">
            <a:latin typeface="Arial" panose="020B0604020202020204" pitchFamily="34" charset="0"/>
            <a:cs typeface="Arial" panose="020B0604020202020204" pitchFamily="34" charset="0"/>
          </a:endParaRPr>
        </a:p>
      </xdr:txBody>
    </xdr:sp>
    <xdr:clientData fPrintsWithSheet="0"/>
  </xdr:twoCellAnchor>
  <xdr:twoCellAnchor>
    <xdr:from>
      <xdr:col>16</xdr:col>
      <xdr:colOff>1428750</xdr:colOff>
      <xdr:row>29</xdr:row>
      <xdr:rowOff>103981</xdr:rowOff>
    </xdr:from>
    <xdr:to>
      <xdr:col>17</xdr:col>
      <xdr:colOff>1131887</xdr:colOff>
      <xdr:row>30</xdr:row>
      <xdr:rowOff>192469</xdr:rowOff>
    </xdr:to>
    <xdr:sp macro="[0]!Axis_set" textlink="">
      <xdr:nvSpPr>
        <xdr:cNvPr id="8" name="Rectangle 7">
          <a:extLst>
            <a:ext uri="{FF2B5EF4-FFF2-40B4-BE49-F238E27FC236}">
              <a16:creationId xmlns:a16="http://schemas.microsoft.com/office/drawing/2014/main" id="{00000000-0008-0000-0200-000008000000}"/>
            </a:ext>
          </a:extLst>
        </xdr:cNvPr>
        <xdr:cNvSpPr/>
      </xdr:nvSpPr>
      <xdr:spPr>
        <a:xfrm>
          <a:off x="10544175" y="5355431"/>
          <a:ext cx="1144587" cy="256763"/>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Change axis</a:t>
          </a:r>
        </a:p>
      </xdr:txBody>
    </xdr:sp>
    <xdr:clientData fPrintsWithSheet="0"/>
  </xdr:twoCellAnchor>
  <xdr:oneCellAnchor>
    <xdr:from>
      <xdr:col>25</xdr:col>
      <xdr:colOff>86871</xdr:colOff>
      <xdr:row>55</xdr:row>
      <xdr:rowOff>0</xdr:rowOff>
    </xdr:from>
    <xdr:ext cx="1151379" cy="410287"/>
    <xdr:pic>
      <xdr:nvPicPr>
        <xdr:cNvPr id="9" name="Picture 8" descr="Creative Commons Licence">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43538" y="11662833"/>
          <a:ext cx="1151379" cy="41028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24</xdr:col>
      <xdr:colOff>1497014</xdr:colOff>
      <xdr:row>38</xdr:row>
      <xdr:rowOff>98424</xdr:rowOff>
    </xdr:from>
    <xdr:ext cx="1327943" cy="526512"/>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rcRect l="18657" t="27269" r="18318" b="29404"/>
        <a:stretch/>
      </xdr:blipFill>
      <xdr:spPr>
        <a:xfrm>
          <a:off x="18213389" y="7944643"/>
          <a:ext cx="1327943" cy="526512"/>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20</xdr:col>
          <xdr:colOff>47625</xdr:colOff>
          <xdr:row>31</xdr:row>
          <xdr:rowOff>9525</xdr:rowOff>
        </xdr:from>
        <xdr:to>
          <xdr:col>20</xdr:col>
          <xdr:colOff>1485900</xdr:colOff>
          <xdr:row>31</xdr:row>
          <xdr:rowOff>190500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32</xdr:row>
          <xdr:rowOff>9525</xdr:rowOff>
        </xdr:from>
        <xdr:to>
          <xdr:col>20</xdr:col>
          <xdr:colOff>1485900</xdr:colOff>
          <xdr:row>32</xdr:row>
          <xdr:rowOff>190500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33</xdr:row>
          <xdr:rowOff>9525</xdr:rowOff>
        </xdr:from>
        <xdr:to>
          <xdr:col>20</xdr:col>
          <xdr:colOff>1485900</xdr:colOff>
          <xdr:row>33</xdr:row>
          <xdr:rowOff>200025</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34</xdr:row>
          <xdr:rowOff>28575</xdr:rowOff>
        </xdr:from>
        <xdr:to>
          <xdr:col>20</xdr:col>
          <xdr:colOff>1485900</xdr:colOff>
          <xdr:row>35</xdr:row>
          <xdr:rowOff>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47625</xdr:colOff>
          <xdr:row>35</xdr:row>
          <xdr:rowOff>28575</xdr:rowOff>
        </xdr:from>
        <xdr:to>
          <xdr:col>20</xdr:col>
          <xdr:colOff>1485900</xdr:colOff>
          <xdr:row>36</xdr:row>
          <xdr:rowOff>9525</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47</xdr:row>
      <xdr:rowOff>0</xdr:rowOff>
    </xdr:from>
    <xdr:to>
      <xdr:col>6</xdr:col>
      <xdr:colOff>0</xdr:colOff>
      <xdr:row>48</xdr:row>
      <xdr:rowOff>141816</xdr:rowOff>
    </xdr:to>
    <xdr:sp macro="[0]!Module1.rotate" textlink="">
      <xdr:nvSpPr>
        <xdr:cNvPr id="18" name="Rectangle 17">
          <a:extLst>
            <a:ext uri="{FF2B5EF4-FFF2-40B4-BE49-F238E27FC236}">
              <a16:creationId xmlns:a16="http://schemas.microsoft.com/office/drawing/2014/main" id="{00000000-0008-0000-0200-000012000000}"/>
            </a:ext>
          </a:extLst>
        </xdr:cNvPr>
        <xdr:cNvSpPr/>
      </xdr:nvSpPr>
      <xdr:spPr>
        <a:xfrm>
          <a:off x="2343150" y="8505825"/>
          <a:ext cx="942975" cy="325966"/>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Change orientation</a:t>
          </a:r>
        </a:p>
      </xdr:txBody>
    </xdr:sp>
    <xdr:clientData fPrintsWithSheet="0"/>
  </xdr:twoCellAnchor>
  <xdr:twoCellAnchor>
    <xdr:from>
      <xdr:col>24</xdr:col>
      <xdr:colOff>0</xdr:colOff>
      <xdr:row>5</xdr:row>
      <xdr:rowOff>37850</xdr:rowOff>
    </xdr:from>
    <xdr:to>
      <xdr:col>24</xdr:col>
      <xdr:colOff>1067300</xdr:colOff>
      <xdr:row>7</xdr:row>
      <xdr:rowOff>0</xdr:rowOff>
    </xdr:to>
    <xdr:sp macro="[0]!Save_it" textlink="">
      <xdr:nvSpPr>
        <xdr:cNvPr id="19" name="Rectangle 18">
          <a:extLst>
            <a:ext uri="{FF2B5EF4-FFF2-40B4-BE49-F238E27FC236}">
              <a16:creationId xmlns:a16="http://schemas.microsoft.com/office/drawing/2014/main" id="{00000000-0008-0000-0200-000013000000}"/>
            </a:ext>
          </a:extLst>
        </xdr:cNvPr>
        <xdr:cNvSpPr/>
      </xdr:nvSpPr>
      <xdr:spPr>
        <a:xfrm>
          <a:off x="15763875" y="895100"/>
          <a:ext cx="1067300" cy="533650"/>
        </a:xfrm>
        <a:prstGeom prst="rect">
          <a:avLst/>
        </a:prstGeom>
        <a:solidFill>
          <a:srgbClr val="FF0000"/>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Save</a:t>
          </a:r>
        </a:p>
      </xdr:txBody>
    </xdr:sp>
    <xdr:clientData fPrintsWithSheet="0"/>
  </xdr:twoCellAnchor>
  <mc:AlternateContent xmlns:mc="http://schemas.openxmlformats.org/markup-compatibility/2006">
    <mc:Choice xmlns:a14="http://schemas.microsoft.com/office/drawing/2010/main" Requires="a14">
      <xdr:twoCellAnchor editAs="oneCell">
        <xdr:from>
          <xdr:col>24</xdr:col>
          <xdr:colOff>0</xdr:colOff>
          <xdr:row>31</xdr:row>
          <xdr:rowOff>9525</xdr:rowOff>
        </xdr:from>
        <xdr:to>
          <xdr:col>24</xdr:col>
          <xdr:colOff>1438275</xdr:colOff>
          <xdr:row>31</xdr:row>
          <xdr:rowOff>190500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32</xdr:row>
          <xdr:rowOff>9525</xdr:rowOff>
        </xdr:from>
        <xdr:to>
          <xdr:col>24</xdr:col>
          <xdr:colOff>1438275</xdr:colOff>
          <xdr:row>32</xdr:row>
          <xdr:rowOff>190500</xdr:rowOff>
        </xdr:to>
        <xdr:sp macro="" textlink="">
          <xdr:nvSpPr>
            <xdr:cNvPr id="1042" name="Drop Down 18" hidden="1">
              <a:extLst>
                <a:ext uri="{63B3BB69-23CF-44E3-9099-C40C66FF867C}">
                  <a14:compatExt spid="_x0000_s1042"/>
                </a:ext>
                <a:ext uri="{FF2B5EF4-FFF2-40B4-BE49-F238E27FC236}">
                  <a16:creationId xmlns:a16="http://schemas.microsoft.com/office/drawing/2014/main" id="{00000000-0008-0000-02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33</xdr:row>
          <xdr:rowOff>9525</xdr:rowOff>
        </xdr:from>
        <xdr:to>
          <xdr:col>24</xdr:col>
          <xdr:colOff>1438275</xdr:colOff>
          <xdr:row>33</xdr:row>
          <xdr:rowOff>200025</xdr:rowOff>
        </xdr:to>
        <xdr:sp macro="" textlink="">
          <xdr:nvSpPr>
            <xdr:cNvPr id="1043" name="Drop Down 19"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34</xdr:row>
          <xdr:rowOff>28575</xdr:rowOff>
        </xdr:from>
        <xdr:to>
          <xdr:col>24</xdr:col>
          <xdr:colOff>1438275</xdr:colOff>
          <xdr:row>35</xdr:row>
          <xdr:rowOff>0</xdr:rowOff>
        </xdr:to>
        <xdr:sp macro="" textlink="">
          <xdr:nvSpPr>
            <xdr:cNvPr id="1048" name="Drop Down 24"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0.03724</cdr:x>
      <cdr:y>0.01031</cdr:y>
    </cdr:from>
    <cdr:to>
      <cdr:x>0.98632</cdr:x>
      <cdr:y>0.10734</cdr:y>
    </cdr:to>
    <cdr:sp macro="" textlink="'Work sheet 1'!$D$1">
      <cdr:nvSpPr>
        <cdr:cNvPr id="2" name="TextBox 31"/>
        <cdr:cNvSpPr txBox="1"/>
      </cdr:nvSpPr>
      <cdr:spPr>
        <a:xfrm xmlns:a="http://schemas.openxmlformats.org/drawingml/2006/main">
          <a:off x="313575" y="44312"/>
          <a:ext cx="7991098" cy="417230"/>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0BE3110-E9EE-47DF-A051-1F1C4D2D2F2F}" type="TxLink">
            <a:rPr lang="en-US" sz="1400" b="1" i="0" u="none" strike="noStrike">
              <a:solidFill>
                <a:srgbClr val="000000"/>
              </a:solidFill>
              <a:latin typeface="Calibri"/>
              <a:cs typeface="Calibri"/>
            </a:rPr>
            <a:pPr/>
            <a:t>P Chart - OM1: % of TaTs within TaT target-NGS starting 30/09/24</a:t>
          </a:fld>
          <a:endParaRPr lang="en-GB" sz="1400" b="1"/>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Health/Oxford/JohnRiordan/RareEventsTool_T_chart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ealth/Oxford/JohnRiordan/G%20Chart%20Rare%20Events_v1.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hsengland.sharepoint.com/sites/MakingDataCountteam/Shared%20Documents/Training%20Materials/Tools/Testing%20files/20210820ParetoToolV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hsengland.sharepoint.com/sites/MakingDataCountteam/Shared%20Documents/Training%20Materials/Tools/Testing%20files/20210909SPC_P-ChartToolV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sheetName val="Instructions"/>
      <sheetName val="Front Sheet"/>
      <sheetName val="Worksheet 1"/>
    </sheetNames>
    <sheetDataSet>
      <sheetData sheetId="0" refreshError="1"/>
      <sheetData sheetId="1" refreshError="1"/>
      <sheetData sheetId="2"/>
      <sheetData sheetId="3">
        <row r="3">
          <cell r="E3">
            <v>2</v>
          </cell>
        </row>
        <row r="4">
          <cell r="E4">
            <v>0</v>
          </cell>
          <cell r="F4">
            <v>2</v>
          </cell>
        </row>
        <row r="5">
          <cell r="E5">
            <v>0</v>
          </cell>
          <cell r="AV5" t="str">
            <v>Yes</v>
          </cell>
        </row>
        <row r="6">
          <cell r="E6">
            <v>2</v>
          </cell>
          <cell r="AV6" t="str">
            <v>No</v>
          </cell>
        </row>
        <row r="9">
          <cell r="D9" t="str">
            <v/>
          </cell>
        </row>
        <row r="10">
          <cell r="D10" t="str">
            <v/>
          </cell>
          <cell r="H10" t="e">
            <v>#VALUE!</v>
          </cell>
          <cell r="I10" t="e">
            <v>#N/A</v>
          </cell>
          <cell r="AZ10" t="e">
            <v>#N/A</v>
          </cell>
          <cell r="BA10" t="e">
            <v>#N/A</v>
          </cell>
          <cell r="BB10" t="e">
            <v>#N/A</v>
          </cell>
          <cell r="BC10" t="e">
            <v>#N/A</v>
          </cell>
          <cell r="BD10" t="e">
            <v>#N/A</v>
          </cell>
          <cell r="BF10" t="e">
            <v>#N/A</v>
          </cell>
          <cell r="BG10" t="e">
            <v>#N/A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sheetName val="Instructions"/>
      <sheetName val="Front Sheet"/>
      <sheetName val="Worksheet 1"/>
    </sheetNames>
    <sheetDataSet>
      <sheetData sheetId="0" refreshError="1"/>
      <sheetData sheetId="1" refreshError="1"/>
      <sheetData sheetId="2" refreshError="1"/>
      <sheetData sheetId="3">
        <row r="3">
          <cell r="E3">
            <v>2</v>
          </cell>
        </row>
        <row r="9">
          <cell r="H9" t="e">
            <v>#N/A</v>
          </cell>
          <cell r="I9" t="e">
            <v>#N/A</v>
          </cell>
          <cell r="AR9" t="e">
            <v>#N/A</v>
          </cell>
          <cell r="AZ9" t="e">
            <v>#N/A</v>
          </cell>
          <cell r="BA9" t="e">
            <v>#N/A</v>
          </cell>
          <cell r="BB9" t="e">
            <v>#N/A</v>
          </cell>
          <cell r="BC9" t="e">
            <v>#N/A</v>
          </cell>
          <cell r="BD9" t="e">
            <v>#N/A</v>
          </cell>
          <cell r="BF9" t="e">
            <v>#N/A</v>
          </cell>
          <cell r="BG9" t="e">
            <v>#N/A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sheetName val="Instructions"/>
      <sheetName val="Pareto"/>
      <sheetName val="Worksheet 1"/>
      <sheetName val="Lookup"/>
    </sheetNames>
    <sheetDataSet>
      <sheetData sheetId="0"/>
      <sheetData sheetId="1"/>
      <sheetData sheetId="2"/>
      <sheetData sheetId="3">
        <row r="6">
          <cell r="D6">
            <v>30</v>
          </cell>
        </row>
        <row r="9">
          <cell r="I9" t="str">
            <v>Complaint 30</v>
          </cell>
          <cell r="J9">
            <v>300</v>
          </cell>
          <cell r="K9">
            <v>6.0606060606060608E-2</v>
          </cell>
        </row>
      </sheetData>
      <sheetData sheetId="4">
        <row r="2">
          <cell r="A2" t="str">
            <v>dd/mm/yy</v>
          </cell>
        </row>
        <row r="3">
          <cell r="A3" t="str">
            <v>ddd dd mmm yy</v>
          </cell>
        </row>
        <row r="4">
          <cell r="A4" t="str">
            <v>mmm-yy</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sheetName val="Instructions"/>
      <sheetName val="Front sheet"/>
      <sheetName val="Work sheet 1"/>
    </sheetNames>
    <sheetDataSet>
      <sheetData sheetId="0" refreshError="1"/>
      <sheetData sheetId="1" refreshError="1"/>
      <sheetData sheetId="2">
        <row r="5">
          <cell r="AN5" t="str">
            <v>Days</v>
          </cell>
          <cell r="AP5" t="str">
            <v>Yes</v>
          </cell>
          <cell r="AV5" t="str">
            <v>Integer</v>
          </cell>
          <cell r="AZ5" t="str">
            <v xml:space="preserve">Vertical </v>
          </cell>
          <cell r="BE5" t="str">
            <v>High is good</v>
          </cell>
        </row>
        <row r="6">
          <cell r="AN6" t="str">
            <v>Weeks</v>
          </cell>
          <cell r="AP6" t="str">
            <v>No</v>
          </cell>
          <cell r="AV6" t="str">
            <v>Decimal</v>
          </cell>
          <cell r="AZ6" t="str">
            <v>Horizontal</v>
          </cell>
          <cell r="BE6" t="str">
            <v>Low is good</v>
          </cell>
        </row>
        <row r="7">
          <cell r="AN7" t="str">
            <v>Months</v>
          </cell>
          <cell r="AV7" t="str">
            <v>Percentage</v>
          </cell>
          <cell r="BE7" t="str">
            <v>Neither</v>
          </cell>
        </row>
        <row r="8">
          <cell r="AN8" t="str">
            <v>Quarters</v>
          </cell>
        </row>
      </sheetData>
      <sheetData sheetId="3">
        <row r="3">
          <cell r="E3">
            <v>1</v>
          </cell>
          <cell r="F3">
            <v>0</v>
          </cell>
        </row>
        <row r="4">
          <cell r="E4">
            <v>39</v>
          </cell>
          <cell r="F4">
            <v>0</v>
          </cell>
        </row>
        <row r="5">
          <cell r="E5">
            <v>84</v>
          </cell>
          <cell r="F5">
            <v>0</v>
          </cell>
        </row>
        <row r="6">
          <cell r="C6">
            <v>0</v>
          </cell>
          <cell r="E6">
            <v>84</v>
          </cell>
          <cell r="F6">
            <v>0</v>
          </cell>
        </row>
        <row r="7">
          <cell r="E7">
            <v>88</v>
          </cell>
          <cell r="F7">
            <v>0</v>
          </cell>
        </row>
        <row r="8">
          <cell r="E8" t="str">
            <v>Cohort</v>
          </cell>
          <cell r="J8" t="str">
            <v>Measure</v>
          </cell>
        </row>
        <row r="9">
          <cell r="D9">
            <v>2</v>
          </cell>
          <cell r="E9" t="e">
            <v>#N/A</v>
          </cell>
          <cell r="F9" t="e">
            <v>#N/A</v>
          </cell>
          <cell r="G9" t="e">
            <v>#N/A</v>
          </cell>
          <cell r="H9" t="e">
            <v>#N/A</v>
          </cell>
          <cell r="I9" t="e">
            <v>#N/A</v>
          </cell>
          <cell r="J9" t="e">
            <v>#N/A</v>
          </cell>
          <cell r="L9" t="e">
            <v>#N/A</v>
          </cell>
          <cell r="AK9" t="e">
            <v>#N/A</v>
          </cell>
          <cell r="AP9" t="e">
            <v>#N/A</v>
          </cell>
          <cell r="AS9" t="e">
            <v>#N/A</v>
          </cell>
          <cell r="AT9" t="e">
            <v>#N/A</v>
          </cell>
          <cell r="AU9" t="e">
            <v>#N/A</v>
          </cell>
          <cell r="BD9" t="e">
            <v>#N/A</v>
          </cell>
          <cell r="BR9" t="e">
            <v>#N/A</v>
          </cell>
          <cell r="BS9" t="e">
            <v>#N/A</v>
          </cell>
          <cell r="BT9" t="e">
            <v>#N/A</v>
          </cell>
          <cell r="BW9" t="e">
            <v>#N/A</v>
          </cell>
          <cell r="BX9" t="e">
            <v>#N/A</v>
          </cell>
          <cell r="CB9" t="e">
            <v>#N/A</v>
          </cell>
          <cell r="CD9" t="e">
            <v>#N/A</v>
          </cell>
          <cell r="CH9" t="e">
            <v>#N/A</v>
          </cell>
          <cell r="CI9" t="e">
            <v>#N/A</v>
          </cell>
          <cell r="CJ9"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J32"/>
  <sheetViews>
    <sheetView workbookViewId="0"/>
  </sheetViews>
  <sheetFormatPr defaultColWidth="0" defaultRowHeight="14.45" customHeight="1" zeroHeight="1" x14ac:dyDescent="0.25"/>
  <cols>
    <col min="1" max="1" width="2.7109375" style="1" customWidth="1"/>
    <col min="2" max="7" width="12.7109375" customWidth="1"/>
    <col min="8" max="9" width="8.7109375" customWidth="1"/>
    <col min="10" max="10" width="2.7109375" style="1" customWidth="1"/>
    <col min="11" max="16384" width="8.7109375" hidden="1"/>
  </cols>
  <sheetData>
    <row r="1" spans="2:9" ht="14.1" customHeight="1" x14ac:dyDescent="0.25">
      <c r="B1" s="1"/>
      <c r="C1" s="1"/>
      <c r="D1" s="1"/>
      <c r="E1" s="1"/>
      <c r="F1" s="1"/>
      <c r="G1" s="1"/>
      <c r="H1" s="1"/>
      <c r="I1" s="1"/>
    </row>
    <row r="2" spans="2:9" ht="29.1" customHeight="1" x14ac:dyDescent="0.25">
      <c r="B2" s="235" t="s">
        <v>176</v>
      </c>
      <c r="C2" s="235"/>
      <c r="D2" s="235"/>
      <c r="E2" s="235"/>
      <c r="F2" s="235"/>
      <c r="G2" s="235"/>
      <c r="H2" s="1"/>
      <c r="I2" s="1"/>
    </row>
    <row r="3" spans="2:9" ht="36.950000000000003" customHeight="1" x14ac:dyDescent="0.25">
      <c r="B3" s="236" t="s">
        <v>172</v>
      </c>
      <c r="C3" s="237"/>
      <c r="D3" s="237"/>
      <c r="E3" s="237"/>
      <c r="F3" s="237"/>
      <c r="G3" s="237"/>
      <c r="H3" s="237"/>
      <c r="I3" s="237"/>
    </row>
    <row r="4" spans="2:9" ht="14.1" customHeight="1" x14ac:dyDescent="0.25">
      <c r="B4" s="164"/>
      <c r="C4" s="164"/>
      <c r="D4" s="164"/>
      <c r="E4" s="164"/>
      <c r="F4" s="164"/>
      <c r="G4" s="164"/>
      <c r="H4" s="1"/>
      <c r="I4" s="1"/>
    </row>
    <row r="5" spans="2:9" ht="15" x14ac:dyDescent="0.25">
      <c r="B5" s="208" t="s">
        <v>173</v>
      </c>
      <c r="C5" s="209" t="s">
        <v>28</v>
      </c>
      <c r="D5" s="238" t="s">
        <v>159</v>
      </c>
      <c r="E5" s="239"/>
      <c r="F5" s="239"/>
      <c r="G5" s="239"/>
      <c r="H5" s="239"/>
      <c r="I5" s="240"/>
    </row>
    <row r="6" spans="2:9" ht="15" x14ac:dyDescent="0.25">
      <c r="B6" s="210" t="s">
        <v>160</v>
      </c>
      <c r="C6" s="212">
        <v>43466</v>
      </c>
      <c r="D6" s="241" t="s">
        <v>177</v>
      </c>
      <c r="E6" s="233"/>
      <c r="F6" s="233"/>
      <c r="G6" s="233"/>
      <c r="H6" s="233"/>
      <c r="I6" s="234"/>
    </row>
    <row r="7" spans="2:9" ht="15" x14ac:dyDescent="0.25">
      <c r="B7" s="210" t="s">
        <v>161</v>
      </c>
      <c r="C7" s="211">
        <v>44276</v>
      </c>
      <c r="D7" s="241" t="s">
        <v>175</v>
      </c>
      <c r="E7" s="233"/>
      <c r="F7" s="233"/>
      <c r="G7" s="233"/>
      <c r="H7" s="233"/>
      <c r="I7" s="234"/>
    </row>
    <row r="8" spans="2:9" ht="60" customHeight="1" x14ac:dyDescent="0.25">
      <c r="B8" s="210" t="s">
        <v>162</v>
      </c>
      <c r="C8" s="211">
        <v>44482</v>
      </c>
      <c r="D8" s="241" t="s">
        <v>174</v>
      </c>
      <c r="E8" s="233"/>
      <c r="F8" s="233"/>
      <c r="G8" s="233"/>
      <c r="H8" s="233"/>
      <c r="I8" s="234"/>
    </row>
    <row r="9" spans="2:9" ht="15" x14ac:dyDescent="0.25">
      <c r="B9" s="210"/>
      <c r="C9" s="210"/>
      <c r="D9" s="232"/>
      <c r="E9" s="233"/>
      <c r="F9" s="233"/>
      <c r="G9" s="233"/>
      <c r="H9" s="233"/>
      <c r="I9" s="234"/>
    </row>
    <row r="10" spans="2:9" ht="15" x14ac:dyDescent="0.25">
      <c r="B10" s="210"/>
      <c r="C10" s="210"/>
      <c r="D10" s="232"/>
      <c r="E10" s="233"/>
      <c r="F10" s="233"/>
      <c r="G10" s="233"/>
      <c r="H10" s="233"/>
      <c r="I10" s="234"/>
    </row>
    <row r="11" spans="2:9" ht="15" x14ac:dyDescent="0.25">
      <c r="B11" s="210"/>
      <c r="C11" s="210"/>
      <c r="D11" s="232"/>
      <c r="E11" s="233"/>
      <c r="F11" s="233"/>
      <c r="G11" s="233"/>
      <c r="H11" s="233"/>
      <c r="I11" s="234"/>
    </row>
    <row r="12" spans="2:9" ht="15" x14ac:dyDescent="0.25">
      <c r="B12" s="210"/>
      <c r="C12" s="210"/>
      <c r="D12" s="232"/>
      <c r="E12" s="233"/>
      <c r="F12" s="233"/>
      <c r="G12" s="233"/>
      <c r="H12" s="233"/>
      <c r="I12" s="234"/>
    </row>
    <row r="13" spans="2:9" ht="15" x14ac:dyDescent="0.25">
      <c r="B13" s="210"/>
      <c r="C13" s="210"/>
      <c r="D13" s="232"/>
      <c r="E13" s="233"/>
      <c r="F13" s="233"/>
      <c r="G13" s="233"/>
      <c r="H13" s="233"/>
      <c r="I13" s="234"/>
    </row>
    <row r="14" spans="2:9" ht="15" x14ac:dyDescent="0.25">
      <c r="B14" s="210"/>
      <c r="C14" s="210"/>
      <c r="D14" s="232"/>
      <c r="E14" s="233"/>
      <c r="F14" s="233"/>
      <c r="G14" s="233"/>
      <c r="H14" s="233"/>
      <c r="I14" s="234"/>
    </row>
    <row r="15" spans="2:9" ht="15" x14ac:dyDescent="0.25">
      <c r="B15" s="210"/>
      <c r="C15" s="210"/>
      <c r="D15" s="232"/>
      <c r="E15" s="233"/>
      <c r="F15" s="233"/>
      <c r="G15" s="233"/>
      <c r="H15" s="233"/>
      <c r="I15" s="234"/>
    </row>
    <row r="16" spans="2:9" ht="15" x14ac:dyDescent="0.25">
      <c r="B16" s="210"/>
      <c r="C16" s="210"/>
      <c r="D16" s="232"/>
      <c r="E16" s="233"/>
      <c r="F16" s="233"/>
      <c r="G16" s="233"/>
      <c r="H16" s="233"/>
      <c r="I16" s="234"/>
    </row>
    <row r="17" spans="2:9" ht="15" x14ac:dyDescent="0.25">
      <c r="B17" s="210"/>
      <c r="C17" s="210"/>
      <c r="D17" s="232"/>
      <c r="E17" s="233"/>
      <c r="F17" s="233"/>
      <c r="G17" s="233"/>
      <c r="H17" s="233"/>
      <c r="I17" s="234"/>
    </row>
    <row r="18" spans="2:9" ht="15" x14ac:dyDescent="0.25">
      <c r="B18" s="210"/>
      <c r="C18" s="210"/>
      <c r="D18" s="232"/>
      <c r="E18" s="233"/>
      <c r="F18" s="233"/>
      <c r="G18" s="233"/>
      <c r="H18" s="233"/>
      <c r="I18" s="234"/>
    </row>
    <row r="19" spans="2:9" ht="15" x14ac:dyDescent="0.25">
      <c r="B19" s="210"/>
      <c r="C19" s="210"/>
      <c r="D19" s="232"/>
      <c r="E19" s="233"/>
      <c r="F19" s="233"/>
      <c r="G19" s="233"/>
      <c r="H19" s="233"/>
      <c r="I19" s="234"/>
    </row>
    <row r="20" spans="2:9" ht="15" x14ac:dyDescent="0.25">
      <c r="B20" s="210"/>
      <c r="C20" s="210"/>
      <c r="D20" s="232"/>
      <c r="E20" s="233"/>
      <c r="F20" s="233"/>
      <c r="G20" s="233"/>
      <c r="H20" s="233"/>
      <c r="I20" s="234"/>
    </row>
    <row r="21" spans="2:9" ht="15" x14ac:dyDescent="0.25">
      <c r="B21" s="210"/>
      <c r="C21" s="210"/>
      <c r="D21" s="232"/>
      <c r="E21" s="233"/>
      <c r="F21" s="233"/>
      <c r="G21" s="233"/>
      <c r="H21" s="233"/>
      <c r="I21" s="234"/>
    </row>
    <row r="22" spans="2:9" ht="15" x14ac:dyDescent="0.25">
      <c r="B22" s="210"/>
      <c r="C22" s="210"/>
      <c r="D22" s="232"/>
      <c r="E22" s="233"/>
      <c r="F22" s="233"/>
      <c r="G22" s="233"/>
      <c r="H22" s="233"/>
      <c r="I22" s="234"/>
    </row>
    <row r="23" spans="2:9" ht="15" x14ac:dyDescent="0.25">
      <c r="B23" s="210"/>
      <c r="C23" s="210"/>
      <c r="D23" s="232"/>
      <c r="E23" s="233"/>
      <c r="F23" s="233"/>
      <c r="G23" s="233"/>
      <c r="H23" s="233"/>
      <c r="I23" s="234"/>
    </row>
    <row r="24" spans="2:9" s="1" customFormat="1" ht="15" x14ac:dyDescent="0.25">
      <c r="B24" s="210"/>
      <c r="C24" s="210"/>
      <c r="D24" s="232"/>
      <c r="E24" s="233"/>
      <c r="F24" s="233"/>
      <c r="G24" s="233"/>
      <c r="H24" s="233"/>
      <c r="I24" s="234"/>
    </row>
    <row r="25" spans="2:9" s="1" customFormat="1" ht="15" x14ac:dyDescent="0.25"/>
    <row r="26" spans="2:9" s="1" customFormat="1" ht="15" hidden="1" x14ac:dyDescent="0.25"/>
    <row r="27" spans="2:9" s="1" customFormat="1" ht="15" hidden="1" x14ac:dyDescent="0.25"/>
    <row r="28" spans="2:9" s="1" customFormat="1" ht="15" hidden="1" x14ac:dyDescent="0.25"/>
    <row r="29" spans="2:9" s="1" customFormat="1" ht="15" hidden="1" x14ac:dyDescent="0.25"/>
    <row r="30" spans="2:9" s="1" customFormat="1" ht="15" hidden="1" x14ac:dyDescent="0.25"/>
    <row r="31" spans="2:9" s="1" customFormat="1" ht="15" hidden="1" x14ac:dyDescent="0.25"/>
    <row r="32" spans="2:9" s="1" customFormat="1" ht="15" hidden="1" x14ac:dyDescent="0.25"/>
  </sheetData>
  <mergeCells count="22">
    <mergeCell ref="D14:I14"/>
    <mergeCell ref="B2:G2"/>
    <mergeCell ref="B3:I3"/>
    <mergeCell ref="D5:I5"/>
    <mergeCell ref="D6:I6"/>
    <mergeCell ref="D7:I7"/>
    <mergeCell ref="D8:I8"/>
    <mergeCell ref="D9:I9"/>
    <mergeCell ref="D10:I10"/>
    <mergeCell ref="D11:I11"/>
    <mergeCell ref="D12:I12"/>
    <mergeCell ref="D13:I13"/>
    <mergeCell ref="D21:I21"/>
    <mergeCell ref="D22:I22"/>
    <mergeCell ref="D23:I23"/>
    <mergeCell ref="D24:I24"/>
    <mergeCell ref="D15:I15"/>
    <mergeCell ref="D16:I16"/>
    <mergeCell ref="D17:I17"/>
    <mergeCell ref="D18:I18"/>
    <mergeCell ref="D19:I19"/>
    <mergeCell ref="D20:I2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146"/>
  <sheetViews>
    <sheetView showRowColHeaders="0" zoomScale="85" zoomScaleNormal="85" workbookViewId="0"/>
  </sheetViews>
  <sheetFormatPr defaultColWidth="0" defaultRowHeight="15" x14ac:dyDescent="0.25"/>
  <cols>
    <col min="1" max="1" width="3.5703125" customWidth="1"/>
    <col min="2" max="2" width="1.140625" customWidth="1"/>
    <col min="3" max="3" width="4.85546875" customWidth="1"/>
    <col min="4" max="4" width="8.5703125" customWidth="1"/>
    <col min="5" max="5" width="5.140625" customWidth="1"/>
    <col min="6" max="6" width="8.5703125" customWidth="1"/>
    <col min="7" max="7" width="10" customWidth="1"/>
    <col min="8" max="8" width="8.5703125" customWidth="1"/>
    <col min="9" max="9" width="10" customWidth="1"/>
    <col min="10" max="11" width="8.5703125" customWidth="1"/>
    <col min="12" max="12" width="26.5703125" customWidth="1"/>
    <col min="13" max="13" width="13.5703125" customWidth="1"/>
    <col min="14" max="14" width="1.140625" customWidth="1"/>
    <col min="15" max="15" width="0" hidden="1" customWidth="1"/>
    <col min="16" max="16" width="1.140625" customWidth="1"/>
    <col min="17" max="17" width="3.5703125" customWidth="1"/>
    <col min="18" max="18" width="33.140625" hidden="1" customWidth="1"/>
    <col min="19" max="16384" width="8.5703125" hidden="1"/>
  </cols>
  <sheetData>
    <row r="1" spans="1:16" s="1" customFormat="1" ht="15.75" thickBot="1" x14ac:dyDescent="0.3">
      <c r="A1" s="111"/>
      <c r="C1" s="112"/>
    </row>
    <row r="2" spans="1:16" s="1" customFormat="1" ht="6.75" customHeight="1" x14ac:dyDescent="0.25">
      <c r="B2" s="113"/>
      <c r="C2" s="114"/>
      <c r="D2" s="115"/>
      <c r="E2" s="115"/>
      <c r="F2" s="115"/>
      <c r="G2" s="115"/>
      <c r="H2" s="115"/>
      <c r="I2" s="115"/>
      <c r="J2" s="115"/>
      <c r="K2" s="115"/>
      <c r="L2" s="115"/>
      <c r="M2" s="115"/>
      <c r="N2" s="115"/>
      <c r="O2" s="115"/>
      <c r="P2" s="116"/>
    </row>
    <row r="3" spans="1:16" s="1" customFormat="1" ht="30" x14ac:dyDescent="0.25">
      <c r="B3" s="117"/>
      <c r="C3" s="242" t="s">
        <v>163</v>
      </c>
      <c r="D3" s="242"/>
      <c r="E3" s="242"/>
      <c r="F3" s="242"/>
      <c r="G3" s="242"/>
      <c r="H3" s="242"/>
      <c r="I3" s="242"/>
      <c r="J3" s="242"/>
      <c r="K3" s="242"/>
      <c r="L3" s="242"/>
      <c r="O3" s="118"/>
      <c r="P3" s="119"/>
    </row>
    <row r="4" spans="1:16" s="1" customFormat="1" ht="6" customHeight="1" x14ac:dyDescent="0.25">
      <c r="B4" s="117"/>
      <c r="C4" s="112"/>
      <c r="O4" s="118"/>
      <c r="P4" s="119"/>
    </row>
    <row r="5" spans="1:16" s="1" customFormat="1" ht="15.75" x14ac:dyDescent="0.25">
      <c r="B5" s="117"/>
      <c r="C5" s="112"/>
      <c r="H5" s="121"/>
      <c r="I5" s="121"/>
      <c r="J5" s="121"/>
      <c r="K5" s="121"/>
      <c r="O5" s="118"/>
      <c r="P5" s="119"/>
    </row>
    <row r="6" spans="1:16" s="1" customFormat="1" ht="6" customHeight="1" x14ac:dyDescent="0.25">
      <c r="B6" s="117"/>
      <c r="P6" s="119"/>
    </row>
    <row r="7" spans="1:16" s="1" customFormat="1" ht="15.75" x14ac:dyDescent="0.25">
      <c r="B7" s="117"/>
      <c r="C7" s="165" t="s">
        <v>101</v>
      </c>
      <c r="D7" s="166"/>
      <c r="E7" s="121"/>
      <c r="F7" s="121"/>
      <c r="G7" s="121"/>
      <c r="H7" s="121"/>
      <c r="I7" s="121"/>
      <c r="J7" s="121"/>
      <c r="K7" s="121"/>
      <c r="L7" s="121"/>
      <c r="M7" s="121"/>
      <c r="P7" s="119"/>
    </row>
    <row r="8" spans="1:16" s="1" customFormat="1" ht="6" customHeight="1" x14ac:dyDescent="0.25">
      <c r="B8" s="117"/>
      <c r="C8" s="121"/>
      <c r="D8" s="121"/>
      <c r="E8" s="121"/>
      <c r="F8" s="121"/>
      <c r="G8" s="121"/>
      <c r="H8" s="121"/>
      <c r="I8" s="121"/>
      <c r="J8" s="121"/>
      <c r="K8" s="121"/>
      <c r="L8" s="121"/>
      <c r="M8" s="121"/>
      <c r="P8" s="119"/>
    </row>
    <row r="9" spans="1:16" s="1" customFormat="1" ht="15.75" x14ac:dyDescent="0.25">
      <c r="B9" s="117"/>
      <c r="C9" s="120" t="s">
        <v>102</v>
      </c>
      <c r="D9" s="121"/>
      <c r="E9" s="121"/>
      <c r="F9" s="121"/>
      <c r="G9" s="121"/>
      <c r="H9" s="121"/>
      <c r="I9" s="121"/>
      <c r="J9" s="121"/>
      <c r="K9" s="121"/>
      <c r="L9" s="121"/>
      <c r="M9" s="121"/>
      <c r="P9" s="119"/>
    </row>
    <row r="10" spans="1:16" s="1" customFormat="1" ht="7.5" customHeight="1" x14ac:dyDescent="0.25">
      <c r="B10" s="117"/>
      <c r="C10" s="121"/>
      <c r="D10" s="121"/>
      <c r="E10" s="121"/>
      <c r="F10" s="121"/>
      <c r="G10" s="121"/>
      <c r="H10" s="121"/>
      <c r="I10" s="121"/>
      <c r="J10" s="121"/>
      <c r="K10" s="121"/>
      <c r="L10" s="121"/>
      <c r="M10" s="121"/>
      <c r="P10" s="119"/>
    </row>
    <row r="11" spans="1:16" s="1" customFormat="1" ht="23.25" x14ac:dyDescent="0.35">
      <c r="B11" s="117"/>
      <c r="C11" s="121" t="s">
        <v>103</v>
      </c>
      <c r="D11" s="121" t="s">
        <v>104</v>
      </c>
      <c r="E11" s="121"/>
      <c r="F11" s="121"/>
      <c r="G11" s="121"/>
      <c r="H11" s="121"/>
      <c r="I11" s="121"/>
      <c r="J11" s="121"/>
      <c r="K11" s="121"/>
      <c r="L11" s="121"/>
      <c r="M11" s="121"/>
      <c r="P11" s="119"/>
    </row>
    <row r="12" spans="1:16" s="1" customFormat="1" ht="7.5" customHeight="1" x14ac:dyDescent="0.25">
      <c r="B12" s="117"/>
      <c r="C12" s="121"/>
      <c r="D12" s="121"/>
      <c r="E12" s="121"/>
      <c r="F12" s="121"/>
      <c r="G12" s="121"/>
      <c r="H12" s="121"/>
      <c r="I12" s="121"/>
      <c r="J12" s="121"/>
      <c r="K12" s="121"/>
      <c r="L12" s="121"/>
      <c r="M12" s="121"/>
      <c r="P12" s="119"/>
    </row>
    <row r="13" spans="1:16" s="1" customFormat="1" ht="15.75" x14ac:dyDescent="0.25">
      <c r="B13" s="117"/>
      <c r="C13" s="121" t="s">
        <v>105</v>
      </c>
      <c r="D13" s="121" t="s">
        <v>106</v>
      </c>
      <c r="E13" s="121"/>
      <c r="F13" s="121"/>
      <c r="G13" s="121"/>
      <c r="H13" s="121"/>
      <c r="I13" s="121"/>
      <c r="J13" s="121"/>
      <c r="K13" s="121"/>
      <c r="L13" s="121"/>
      <c r="M13" s="121"/>
      <c r="P13" s="119"/>
    </row>
    <row r="14" spans="1:16" s="1" customFormat="1" ht="7.5" customHeight="1" x14ac:dyDescent="0.25">
      <c r="B14" s="117"/>
      <c r="C14" s="121"/>
      <c r="D14" s="121"/>
      <c r="E14" s="121"/>
      <c r="F14" s="121"/>
      <c r="G14" s="121"/>
      <c r="H14" s="121"/>
      <c r="I14" s="121"/>
      <c r="J14" s="121"/>
      <c r="K14" s="121"/>
      <c r="L14" s="121"/>
      <c r="M14" s="121"/>
      <c r="P14" s="119"/>
    </row>
    <row r="15" spans="1:16" s="1" customFormat="1" ht="15.75" x14ac:dyDescent="0.25">
      <c r="B15" s="117"/>
      <c r="C15" s="121" t="s">
        <v>107</v>
      </c>
      <c r="D15" s="121" t="s">
        <v>108</v>
      </c>
      <c r="E15" s="121"/>
      <c r="F15" s="121"/>
      <c r="G15" s="121"/>
      <c r="H15" s="121"/>
      <c r="I15" s="121"/>
      <c r="J15" s="121"/>
      <c r="K15" s="121"/>
      <c r="L15" s="121"/>
      <c r="M15" s="121"/>
      <c r="P15" s="119"/>
    </row>
    <row r="16" spans="1:16" s="1" customFormat="1" ht="7.5" customHeight="1" x14ac:dyDescent="0.25">
      <c r="B16" s="117"/>
      <c r="C16" s="121"/>
      <c r="D16" s="121"/>
      <c r="E16" s="121"/>
      <c r="F16" s="121"/>
      <c r="G16" s="121"/>
      <c r="H16" s="121"/>
      <c r="I16" s="121"/>
      <c r="J16" s="121"/>
      <c r="K16" s="121"/>
      <c r="L16" s="121"/>
      <c r="M16" s="121"/>
      <c r="P16" s="119"/>
    </row>
    <row r="17" spans="2:16" s="1" customFormat="1" ht="15.75" x14ac:dyDescent="0.25">
      <c r="B17" s="117"/>
      <c r="C17" s="121" t="s">
        <v>109</v>
      </c>
      <c r="D17" s="121" t="s">
        <v>110</v>
      </c>
      <c r="E17" s="121"/>
      <c r="F17" s="121"/>
      <c r="G17" s="121"/>
      <c r="H17" s="121"/>
      <c r="I17" s="121"/>
      <c r="J17" s="121"/>
      <c r="K17" s="121"/>
      <c r="L17" s="121"/>
      <c r="M17" s="121"/>
      <c r="P17" s="119"/>
    </row>
    <row r="18" spans="2:16" s="1" customFormat="1" ht="7.5" customHeight="1" x14ac:dyDescent="0.25">
      <c r="B18" s="117"/>
      <c r="C18" s="121"/>
      <c r="D18" s="121"/>
      <c r="E18" s="121"/>
      <c r="F18" s="121"/>
      <c r="G18" s="121"/>
      <c r="H18" s="121"/>
      <c r="I18" s="121"/>
      <c r="J18" s="121"/>
      <c r="K18" s="121"/>
      <c r="L18" s="121"/>
      <c r="M18" s="121"/>
      <c r="P18" s="119"/>
    </row>
    <row r="19" spans="2:16" s="1" customFormat="1" ht="15.75" x14ac:dyDescent="0.25">
      <c r="B19" s="117"/>
      <c r="C19" s="121" t="s">
        <v>111</v>
      </c>
      <c r="D19" s="121" t="s">
        <v>112</v>
      </c>
      <c r="E19" s="121"/>
      <c r="F19" s="121"/>
      <c r="G19" s="121"/>
      <c r="H19" s="121"/>
      <c r="I19" s="121"/>
      <c r="J19" s="121"/>
      <c r="K19" s="121"/>
      <c r="L19" s="121"/>
      <c r="M19" s="121"/>
      <c r="P19" s="119"/>
    </row>
    <row r="20" spans="2:16" s="1" customFormat="1" ht="15.75" x14ac:dyDescent="0.25">
      <c r="B20" s="117"/>
      <c r="C20" s="121"/>
      <c r="D20" s="121"/>
      <c r="E20" s="121"/>
      <c r="F20" s="121"/>
      <c r="G20" s="121"/>
      <c r="H20" s="121"/>
      <c r="I20" s="121"/>
      <c r="J20" s="121"/>
      <c r="K20" s="121"/>
      <c r="L20" s="121"/>
      <c r="M20" s="121"/>
      <c r="P20" s="119"/>
    </row>
    <row r="21" spans="2:16" s="1" customFormat="1" ht="15.75" x14ac:dyDescent="0.25">
      <c r="B21" s="117"/>
      <c r="C21" s="121" t="s">
        <v>113</v>
      </c>
      <c r="D21" s="121" t="s">
        <v>114</v>
      </c>
      <c r="E21" s="121"/>
      <c r="F21" s="121"/>
      <c r="G21" s="121"/>
      <c r="H21" s="121"/>
      <c r="I21" s="121"/>
      <c r="J21" s="121"/>
      <c r="K21" s="121"/>
      <c r="L21" s="121"/>
      <c r="M21" s="121"/>
      <c r="P21" s="119"/>
    </row>
    <row r="22" spans="2:16" s="1" customFormat="1" ht="15.75" x14ac:dyDescent="0.25">
      <c r="B22" s="117"/>
      <c r="C22" s="121"/>
      <c r="D22" s="121"/>
      <c r="E22" s="121"/>
      <c r="F22" s="121"/>
      <c r="G22" s="121"/>
      <c r="H22" s="121"/>
      <c r="I22" s="121"/>
      <c r="J22" s="121"/>
      <c r="K22" s="121"/>
      <c r="L22" s="121"/>
      <c r="M22" s="121"/>
      <c r="P22" s="119"/>
    </row>
    <row r="23" spans="2:16" s="1" customFormat="1" ht="15.75" x14ac:dyDescent="0.25">
      <c r="B23" s="117"/>
      <c r="C23" s="121" t="s">
        <v>115</v>
      </c>
      <c r="D23" s="121" t="s">
        <v>116</v>
      </c>
      <c r="E23" s="121"/>
      <c r="F23" s="121"/>
      <c r="G23" s="121"/>
      <c r="H23" s="121"/>
      <c r="I23" s="121"/>
      <c r="J23" s="121"/>
      <c r="K23" s="121"/>
      <c r="L23" s="121"/>
      <c r="M23" s="121"/>
      <c r="P23" s="119"/>
    </row>
    <row r="24" spans="2:16" s="1" customFormat="1" ht="15.75" x14ac:dyDescent="0.25">
      <c r="B24" s="117"/>
      <c r="C24" s="121"/>
      <c r="E24" s="121"/>
      <c r="F24" s="121"/>
      <c r="G24" s="121"/>
      <c r="H24" s="121"/>
      <c r="I24" s="121"/>
      <c r="J24" s="121"/>
      <c r="K24" s="121"/>
      <c r="L24" s="121"/>
      <c r="M24" s="121"/>
      <c r="P24" s="119"/>
    </row>
    <row r="25" spans="2:16" s="1" customFormat="1" ht="15.75" x14ac:dyDescent="0.25">
      <c r="B25" s="117"/>
      <c r="C25" s="121" t="s">
        <v>117</v>
      </c>
      <c r="D25" s="121" t="s">
        <v>118</v>
      </c>
      <c r="E25" s="121"/>
      <c r="F25" s="121"/>
      <c r="G25" s="121"/>
      <c r="H25" s="121"/>
      <c r="I25" s="121"/>
      <c r="J25" s="121"/>
      <c r="K25" s="121"/>
      <c r="L25" s="121"/>
      <c r="M25" s="121"/>
      <c r="P25" s="119"/>
    </row>
    <row r="26" spans="2:16" s="1" customFormat="1" ht="15.75" x14ac:dyDescent="0.25">
      <c r="B26" s="117"/>
      <c r="C26" s="121"/>
      <c r="D26" s="120" t="s">
        <v>119</v>
      </c>
      <c r="E26" s="121"/>
      <c r="F26" s="121"/>
      <c r="G26" s="121"/>
      <c r="H26" s="121"/>
      <c r="I26" s="121"/>
      <c r="J26" s="121"/>
      <c r="K26" s="121"/>
      <c r="L26" s="121"/>
      <c r="M26" s="121"/>
      <c r="P26" s="119"/>
    </row>
    <row r="27" spans="2:16" s="1" customFormat="1" ht="15.75" x14ac:dyDescent="0.25">
      <c r="B27" s="117"/>
      <c r="C27" s="121"/>
      <c r="D27" s="120"/>
      <c r="E27" s="121"/>
      <c r="F27" s="121"/>
      <c r="G27" s="121"/>
      <c r="H27" s="121"/>
      <c r="I27" s="121"/>
      <c r="J27" s="121"/>
      <c r="K27" s="121"/>
      <c r="L27" s="121"/>
      <c r="M27" s="121"/>
      <c r="P27" s="119"/>
    </row>
    <row r="28" spans="2:16" s="1" customFormat="1" ht="15.75" x14ac:dyDescent="0.25">
      <c r="B28" s="117"/>
      <c r="C28" s="121" t="s">
        <v>120</v>
      </c>
      <c r="D28" s="121" t="s">
        <v>121</v>
      </c>
      <c r="E28" s="121"/>
      <c r="F28" s="121"/>
      <c r="G28" s="121"/>
      <c r="H28" s="121"/>
      <c r="I28" s="121"/>
      <c r="J28" s="121"/>
      <c r="K28" s="121"/>
      <c r="L28" s="121"/>
      <c r="M28" s="121"/>
      <c r="P28" s="119"/>
    </row>
    <row r="29" spans="2:16" s="1" customFormat="1" ht="15.75" x14ac:dyDescent="0.25">
      <c r="B29" s="117"/>
      <c r="C29" s="121"/>
      <c r="D29" s="121" t="s">
        <v>122</v>
      </c>
      <c r="E29" s="121"/>
      <c r="F29" s="121"/>
      <c r="G29" s="121"/>
      <c r="H29" s="121"/>
      <c r="I29" s="121"/>
      <c r="J29" s="121"/>
      <c r="K29" s="121"/>
      <c r="L29" s="121"/>
      <c r="M29" s="121"/>
      <c r="P29" s="119"/>
    </row>
    <row r="30" spans="2:16" s="1" customFormat="1" ht="15.6" customHeight="1" x14ac:dyDescent="0.25">
      <c r="B30" s="117"/>
      <c r="P30" s="119"/>
    </row>
    <row r="31" spans="2:16" s="1" customFormat="1" ht="15.6" customHeight="1" x14ac:dyDescent="0.25">
      <c r="B31" s="117"/>
      <c r="C31" s="1" t="s">
        <v>157</v>
      </c>
      <c r="D31" s="121" t="s">
        <v>158</v>
      </c>
      <c r="P31" s="119"/>
    </row>
    <row r="32" spans="2:16" s="1" customFormat="1" ht="15.75" x14ac:dyDescent="0.25">
      <c r="B32" s="117"/>
      <c r="C32" s="121"/>
      <c r="D32" s="121"/>
      <c r="E32" s="121"/>
      <c r="F32" s="121"/>
      <c r="G32" s="121"/>
      <c r="H32" s="121"/>
      <c r="I32" s="121"/>
      <c r="J32" s="121"/>
      <c r="K32" s="121"/>
      <c r="L32" s="121"/>
      <c r="M32" s="121"/>
      <c r="P32" s="119"/>
    </row>
    <row r="33" spans="2:16" s="1" customFormat="1" ht="15.75" x14ac:dyDescent="0.25">
      <c r="B33" s="117"/>
      <c r="C33" s="165" t="s">
        <v>123</v>
      </c>
      <c r="D33" s="166"/>
      <c r="E33" s="166"/>
      <c r="F33" s="121"/>
      <c r="G33" s="121"/>
      <c r="H33" s="121"/>
      <c r="I33" s="121"/>
      <c r="J33" s="121"/>
      <c r="K33" s="121"/>
      <c r="L33" s="121"/>
      <c r="M33" s="121"/>
      <c r="P33" s="119"/>
    </row>
    <row r="34" spans="2:16" s="1" customFormat="1" ht="15.75" x14ac:dyDescent="0.25">
      <c r="B34" s="117"/>
      <c r="C34" s="120"/>
      <c r="D34" s="121"/>
      <c r="E34" s="121"/>
      <c r="F34" s="121"/>
      <c r="G34" s="121"/>
      <c r="H34" s="121"/>
      <c r="I34" s="121"/>
      <c r="J34" s="121"/>
      <c r="K34" s="121"/>
      <c r="L34" s="121"/>
      <c r="M34" s="121"/>
      <c r="P34" s="119"/>
    </row>
    <row r="35" spans="2:16" s="1" customFormat="1" ht="15.75" x14ac:dyDescent="0.25">
      <c r="B35" s="117"/>
      <c r="C35" s="121" t="s">
        <v>103</v>
      </c>
      <c r="D35" s="121" t="s">
        <v>124</v>
      </c>
      <c r="E35" s="121"/>
      <c r="F35" s="121"/>
      <c r="G35" s="121"/>
      <c r="H35" s="121"/>
      <c r="I35" s="121"/>
      <c r="J35" s="121"/>
      <c r="K35" s="121"/>
      <c r="L35" s="121"/>
      <c r="M35" s="121"/>
      <c r="P35" s="119"/>
    </row>
    <row r="36" spans="2:16" s="1" customFormat="1" ht="15.75" x14ac:dyDescent="0.25">
      <c r="B36" s="117"/>
      <c r="C36" s="121"/>
      <c r="D36" s="121"/>
      <c r="E36" s="121"/>
      <c r="F36" s="121"/>
      <c r="G36" s="121"/>
      <c r="H36" s="121"/>
      <c r="I36" s="121"/>
      <c r="J36" s="121"/>
      <c r="K36" s="121"/>
      <c r="L36" s="121"/>
      <c r="M36" s="121"/>
      <c r="P36" s="119"/>
    </row>
    <row r="37" spans="2:16" s="1" customFormat="1" ht="15.75" x14ac:dyDescent="0.25">
      <c r="B37" s="117"/>
      <c r="C37" s="121" t="s">
        <v>105</v>
      </c>
      <c r="D37" s="121" t="s">
        <v>125</v>
      </c>
      <c r="E37" s="121"/>
      <c r="F37" s="121"/>
      <c r="G37" s="121"/>
      <c r="H37" s="121"/>
      <c r="I37" s="121"/>
      <c r="J37" s="121"/>
      <c r="K37" s="121"/>
      <c r="L37" s="121"/>
      <c r="M37" s="121"/>
      <c r="P37" s="119"/>
    </row>
    <row r="38" spans="2:16" s="1" customFormat="1" ht="16.5" thickBot="1" x14ac:dyDescent="0.3">
      <c r="B38" s="122"/>
      <c r="C38" s="123"/>
      <c r="D38" s="123"/>
      <c r="E38" s="123"/>
      <c r="F38" s="123"/>
      <c r="G38" s="123"/>
      <c r="H38" s="123"/>
      <c r="I38" s="123"/>
      <c r="J38" s="123"/>
      <c r="K38" s="123"/>
      <c r="L38" s="123"/>
      <c r="M38" s="123"/>
      <c r="N38" s="124"/>
      <c r="O38" s="124"/>
      <c r="P38" s="125"/>
    </row>
    <row r="39" spans="2:16" s="1" customFormat="1" ht="15.75" thickBot="1" x14ac:dyDescent="0.3"/>
    <row r="40" spans="2:16" s="1" customFormat="1" x14ac:dyDescent="0.25">
      <c r="B40" s="126"/>
      <c r="C40" s="127"/>
      <c r="D40" s="127"/>
      <c r="E40" s="127"/>
      <c r="F40" s="127"/>
      <c r="G40" s="127"/>
      <c r="H40" s="127"/>
      <c r="I40" s="127"/>
      <c r="J40" s="127"/>
      <c r="K40" s="127"/>
      <c r="L40" s="127"/>
      <c r="M40" s="127"/>
      <c r="N40" s="127"/>
      <c r="O40" s="127"/>
      <c r="P40" s="128"/>
    </row>
    <row r="41" spans="2:16" s="1" customFormat="1" ht="15.75" x14ac:dyDescent="0.25">
      <c r="B41" s="129"/>
      <c r="C41" s="130" t="s">
        <v>126</v>
      </c>
      <c r="D41" s="131"/>
      <c r="E41" s="131"/>
      <c r="F41" s="131"/>
      <c r="G41" s="131"/>
      <c r="H41" s="131"/>
      <c r="I41" s="131"/>
      <c r="J41" s="131"/>
      <c r="K41" s="131"/>
      <c r="L41" s="131"/>
      <c r="M41" s="131"/>
      <c r="N41" s="132"/>
      <c r="O41" s="132"/>
      <c r="P41" s="133"/>
    </row>
    <row r="42" spans="2:16" s="1" customFormat="1" ht="15.75" x14ac:dyDescent="0.25">
      <c r="B42" s="129"/>
      <c r="C42" s="131"/>
      <c r="D42" s="131"/>
      <c r="E42" s="131"/>
      <c r="F42" s="131"/>
      <c r="G42" s="131"/>
      <c r="H42" s="131"/>
      <c r="I42" s="131"/>
      <c r="J42" s="131"/>
      <c r="K42" s="131"/>
      <c r="L42" s="131"/>
      <c r="M42" s="131"/>
      <c r="N42" s="132"/>
      <c r="O42" s="132"/>
      <c r="P42" s="133"/>
    </row>
    <row r="43" spans="2:16" s="1" customFormat="1" ht="15.75" x14ac:dyDescent="0.25">
      <c r="B43" s="129"/>
      <c r="C43" s="131" t="s">
        <v>127</v>
      </c>
      <c r="D43" s="131"/>
      <c r="E43" s="131"/>
      <c r="F43" s="131"/>
      <c r="G43" s="131"/>
      <c r="H43" s="131"/>
      <c r="I43" s="131"/>
      <c r="J43" s="131"/>
      <c r="K43" s="131"/>
      <c r="L43" s="131"/>
      <c r="M43" s="131"/>
      <c r="N43" s="132"/>
      <c r="O43" s="132"/>
      <c r="P43" s="133"/>
    </row>
    <row r="44" spans="2:16" s="1" customFormat="1" ht="15.75" x14ac:dyDescent="0.25">
      <c r="B44" s="129"/>
      <c r="C44" s="131" t="s">
        <v>128</v>
      </c>
      <c r="D44" s="131"/>
      <c r="E44" s="131"/>
      <c r="F44" s="131"/>
      <c r="G44" s="131"/>
      <c r="H44" s="131"/>
      <c r="I44" s="131"/>
      <c r="J44" s="131"/>
      <c r="K44" s="131"/>
      <c r="L44" s="131"/>
      <c r="M44" s="131"/>
      <c r="N44" s="132"/>
      <c r="O44" s="132"/>
      <c r="P44" s="133"/>
    </row>
    <row r="45" spans="2:16" s="1" customFormat="1" ht="15.75" x14ac:dyDescent="0.25">
      <c r="B45" s="129"/>
      <c r="C45" s="131"/>
      <c r="D45" s="131"/>
      <c r="E45" s="131"/>
      <c r="F45" s="131"/>
      <c r="G45" s="131"/>
      <c r="H45" s="131"/>
      <c r="I45" s="131"/>
      <c r="J45" s="131"/>
      <c r="K45" s="131"/>
      <c r="L45" s="131"/>
      <c r="M45" s="131"/>
      <c r="N45" s="132"/>
      <c r="O45" s="132"/>
      <c r="P45" s="133"/>
    </row>
    <row r="46" spans="2:16" s="1" customFormat="1" ht="15.75" x14ac:dyDescent="0.25">
      <c r="B46" s="129"/>
      <c r="C46" s="131" t="s">
        <v>129</v>
      </c>
      <c r="D46" s="131"/>
      <c r="E46" s="131"/>
      <c r="F46" s="131"/>
      <c r="G46" s="131"/>
      <c r="H46" s="131"/>
      <c r="I46" s="131"/>
      <c r="J46" s="131"/>
      <c r="K46" s="131"/>
      <c r="L46" s="131"/>
      <c r="M46" s="131"/>
      <c r="N46" s="132"/>
      <c r="O46" s="132"/>
      <c r="P46" s="133"/>
    </row>
    <row r="47" spans="2:16" s="1" customFormat="1" ht="15.75" x14ac:dyDescent="0.25">
      <c r="B47" s="129"/>
      <c r="C47" s="131"/>
      <c r="D47" s="131"/>
      <c r="E47" s="131"/>
      <c r="F47" s="131"/>
      <c r="G47" s="131"/>
      <c r="H47" s="131"/>
      <c r="I47" s="131"/>
      <c r="J47" s="131"/>
      <c r="K47" s="131"/>
      <c r="L47" s="131"/>
      <c r="M47" s="131"/>
      <c r="N47" s="132"/>
      <c r="O47" s="132"/>
      <c r="P47" s="133"/>
    </row>
    <row r="48" spans="2:16" s="1" customFormat="1" ht="15.75" x14ac:dyDescent="0.25">
      <c r="B48" s="129"/>
      <c r="C48" s="130" t="s">
        <v>130</v>
      </c>
      <c r="D48" s="131"/>
      <c r="E48" s="131"/>
      <c r="F48" s="131"/>
      <c r="G48" s="131"/>
      <c r="H48" s="131"/>
      <c r="I48" s="131"/>
      <c r="J48" s="131"/>
      <c r="K48" s="131"/>
      <c r="L48" s="131"/>
      <c r="M48" s="131"/>
      <c r="N48" s="132"/>
      <c r="O48" s="132"/>
      <c r="P48" s="133"/>
    </row>
    <row r="49" spans="2:16" s="1" customFormat="1" ht="15.75" x14ac:dyDescent="0.25">
      <c r="B49" s="129"/>
      <c r="C49" s="131" t="s">
        <v>103</v>
      </c>
      <c r="D49" s="131" t="s">
        <v>131</v>
      </c>
      <c r="E49" s="131"/>
      <c r="F49" s="131"/>
      <c r="G49" s="131"/>
      <c r="H49" s="131"/>
      <c r="I49" s="131"/>
      <c r="J49" s="131"/>
      <c r="K49" s="131"/>
      <c r="L49" s="131"/>
      <c r="M49" s="131"/>
      <c r="N49" s="132"/>
      <c r="O49" s="132"/>
      <c r="P49" s="133"/>
    </row>
    <row r="50" spans="2:16" s="1" customFormat="1" ht="15.75" x14ac:dyDescent="0.25">
      <c r="B50" s="129"/>
      <c r="C50" s="131" t="s">
        <v>132</v>
      </c>
      <c r="D50" s="131" t="s">
        <v>133</v>
      </c>
      <c r="E50" s="131"/>
      <c r="F50" s="131"/>
      <c r="G50" s="131"/>
      <c r="H50" s="131"/>
      <c r="I50" s="131"/>
      <c r="J50" s="131"/>
      <c r="K50" s="131"/>
      <c r="L50" s="131"/>
      <c r="M50" s="131"/>
      <c r="N50" s="132"/>
      <c r="O50" s="132"/>
      <c r="P50" s="133"/>
    </row>
    <row r="51" spans="2:16" s="1" customFormat="1" ht="15.75" x14ac:dyDescent="0.25">
      <c r="B51" s="129"/>
      <c r="C51" s="131"/>
      <c r="D51" s="131" t="s">
        <v>134</v>
      </c>
      <c r="E51" s="131"/>
      <c r="F51" s="131"/>
      <c r="G51" s="131"/>
      <c r="H51" s="131"/>
      <c r="I51" s="131"/>
      <c r="J51" s="131"/>
      <c r="K51" s="131"/>
      <c r="L51" s="131"/>
      <c r="M51" s="131"/>
      <c r="N51" s="132"/>
      <c r="O51" s="132"/>
      <c r="P51" s="133"/>
    </row>
    <row r="52" spans="2:16" s="1" customFormat="1" ht="15.75" x14ac:dyDescent="0.25">
      <c r="B52" s="129"/>
      <c r="C52" s="131" t="s">
        <v>135</v>
      </c>
      <c r="D52" s="131" t="s">
        <v>136</v>
      </c>
      <c r="E52" s="131"/>
      <c r="F52" s="131"/>
      <c r="G52" s="131"/>
      <c r="H52" s="131"/>
      <c r="I52" s="131"/>
      <c r="J52" s="131"/>
      <c r="K52" s="131"/>
      <c r="L52" s="131"/>
      <c r="M52" s="131"/>
      <c r="N52" s="132"/>
      <c r="O52" s="132"/>
      <c r="P52" s="133"/>
    </row>
    <row r="53" spans="2:16" s="1" customFormat="1" ht="15.75" x14ac:dyDescent="0.25">
      <c r="B53" s="129"/>
      <c r="C53" s="131" t="s">
        <v>137</v>
      </c>
      <c r="D53" s="131" t="s">
        <v>138</v>
      </c>
      <c r="E53" s="131"/>
      <c r="F53" s="131"/>
      <c r="G53" s="131"/>
      <c r="H53" s="131"/>
      <c r="I53" s="131"/>
      <c r="J53" s="131"/>
      <c r="K53" s="131"/>
      <c r="L53" s="131"/>
      <c r="M53" s="131"/>
      <c r="N53" s="132"/>
      <c r="O53" s="132"/>
      <c r="P53" s="133"/>
    </row>
    <row r="54" spans="2:16" s="1" customFormat="1" ht="15.75" x14ac:dyDescent="0.25">
      <c r="B54" s="129"/>
      <c r="C54" s="131"/>
      <c r="D54" s="131"/>
      <c r="E54" s="131"/>
      <c r="F54" s="131"/>
      <c r="G54" s="131"/>
      <c r="H54" s="131"/>
      <c r="I54" s="131"/>
      <c r="J54" s="131"/>
      <c r="K54" s="131"/>
      <c r="L54" s="131"/>
      <c r="M54" s="131"/>
      <c r="N54" s="132"/>
      <c r="O54" s="132"/>
      <c r="P54" s="133"/>
    </row>
    <row r="55" spans="2:16" s="1" customFormat="1" ht="15.75" x14ac:dyDescent="0.25">
      <c r="B55" s="129"/>
      <c r="C55" s="131"/>
      <c r="D55" s="131"/>
      <c r="E55" s="131"/>
      <c r="F55" s="131"/>
      <c r="G55" s="131"/>
      <c r="H55" s="131"/>
      <c r="I55" s="131"/>
      <c r="J55" s="131"/>
      <c r="K55" s="131"/>
      <c r="L55" s="131"/>
      <c r="M55" s="131"/>
      <c r="N55" s="132"/>
      <c r="O55" s="132"/>
      <c r="P55" s="133"/>
    </row>
    <row r="56" spans="2:16" s="1" customFormat="1" ht="15.75" x14ac:dyDescent="0.25">
      <c r="B56" s="129"/>
      <c r="C56" s="131" t="s">
        <v>139</v>
      </c>
      <c r="D56" s="131"/>
      <c r="E56" s="131"/>
      <c r="F56" s="131"/>
      <c r="G56" s="131"/>
      <c r="H56" s="131"/>
      <c r="I56" s="131"/>
      <c r="J56" s="131"/>
      <c r="K56" s="131"/>
      <c r="L56" s="131"/>
      <c r="M56" s="131"/>
      <c r="N56" s="132"/>
      <c r="O56" s="132"/>
      <c r="P56" s="133"/>
    </row>
    <row r="57" spans="2:16" s="1" customFormat="1" ht="15.75" x14ac:dyDescent="0.25">
      <c r="B57" s="129"/>
      <c r="C57" s="131" t="s">
        <v>140</v>
      </c>
      <c r="D57" s="131"/>
      <c r="E57" s="131"/>
      <c r="F57" s="131"/>
      <c r="G57" s="131"/>
      <c r="H57" s="131"/>
      <c r="I57" s="131"/>
      <c r="J57" s="131"/>
      <c r="K57" s="131"/>
      <c r="L57" s="131"/>
      <c r="M57" s="131"/>
      <c r="N57" s="132"/>
      <c r="O57" s="132"/>
      <c r="P57" s="133"/>
    </row>
    <row r="58" spans="2:16" s="1" customFormat="1" ht="15.75" x14ac:dyDescent="0.25">
      <c r="B58" s="129"/>
      <c r="C58" s="131"/>
      <c r="D58" s="131"/>
      <c r="E58" s="131"/>
      <c r="F58" s="131"/>
      <c r="G58" s="131"/>
      <c r="H58" s="131"/>
      <c r="I58" s="131"/>
      <c r="J58" s="131"/>
      <c r="K58" s="131"/>
      <c r="L58" s="131"/>
      <c r="M58" s="131"/>
      <c r="N58" s="132"/>
      <c r="O58" s="132"/>
      <c r="P58" s="133"/>
    </row>
    <row r="59" spans="2:16" s="1" customFormat="1" ht="15.75" x14ac:dyDescent="0.25">
      <c r="B59" s="129"/>
      <c r="C59" s="131"/>
      <c r="D59" s="131"/>
      <c r="E59" s="131"/>
      <c r="F59" s="131"/>
      <c r="G59" s="131"/>
      <c r="H59" s="131"/>
      <c r="I59" s="131"/>
      <c r="J59" s="131"/>
      <c r="K59" s="131"/>
      <c r="L59" s="131"/>
      <c r="M59" s="131"/>
      <c r="N59" s="132"/>
      <c r="O59" s="132"/>
      <c r="P59" s="133"/>
    </row>
    <row r="60" spans="2:16" s="1" customFormat="1" ht="15.75" x14ac:dyDescent="0.25">
      <c r="B60" s="129"/>
      <c r="C60" s="131" t="s">
        <v>141</v>
      </c>
      <c r="D60" s="131"/>
      <c r="E60" s="131"/>
      <c r="F60" s="131"/>
      <c r="G60" s="131"/>
      <c r="H60" s="131"/>
      <c r="I60" s="131"/>
      <c r="J60" s="131"/>
      <c r="K60" s="131"/>
      <c r="L60" s="131"/>
      <c r="M60" s="131"/>
      <c r="N60" s="132"/>
      <c r="O60" s="132"/>
      <c r="P60" s="133"/>
    </row>
    <row r="61" spans="2:16" s="1" customFormat="1" ht="15.75" x14ac:dyDescent="0.25">
      <c r="B61" s="129"/>
      <c r="C61" s="131" t="s">
        <v>142</v>
      </c>
      <c r="D61" s="131"/>
      <c r="E61" s="131"/>
      <c r="F61" s="131"/>
      <c r="G61" s="131"/>
      <c r="H61" s="131"/>
      <c r="I61" s="131"/>
      <c r="J61" s="131"/>
      <c r="K61" s="131"/>
      <c r="L61" s="131"/>
      <c r="M61" s="131"/>
      <c r="N61" s="132"/>
      <c r="O61" s="132"/>
      <c r="P61" s="133"/>
    </row>
    <row r="62" spans="2:16" s="1" customFormat="1" ht="15.75" x14ac:dyDescent="0.25">
      <c r="B62" s="129"/>
      <c r="C62" s="131" t="s">
        <v>143</v>
      </c>
      <c r="D62" s="131"/>
      <c r="E62" s="131"/>
      <c r="F62" s="131"/>
      <c r="G62" s="131"/>
      <c r="H62" s="131"/>
      <c r="I62" s="131"/>
      <c r="J62" s="131"/>
      <c r="K62" s="131"/>
      <c r="L62" s="131"/>
      <c r="M62" s="131"/>
      <c r="N62" s="132"/>
      <c r="O62" s="132"/>
      <c r="P62" s="133"/>
    </row>
    <row r="63" spans="2:16" s="1" customFormat="1" ht="15.75" x14ac:dyDescent="0.25">
      <c r="B63" s="129"/>
      <c r="C63" s="131" t="s">
        <v>144</v>
      </c>
      <c r="D63" s="131"/>
      <c r="E63" s="131"/>
      <c r="F63" s="131"/>
      <c r="G63" s="131"/>
      <c r="H63" s="131"/>
      <c r="I63" s="131"/>
      <c r="J63" s="131"/>
      <c r="K63" s="131"/>
      <c r="L63" s="131"/>
      <c r="M63" s="131"/>
      <c r="N63" s="132"/>
      <c r="O63" s="132"/>
      <c r="P63" s="133"/>
    </row>
    <row r="64" spans="2:16" s="1" customFormat="1" ht="15.75" thickBot="1" x14ac:dyDescent="0.3">
      <c r="B64" s="134"/>
      <c r="C64" s="135"/>
      <c r="D64" s="135"/>
      <c r="E64" s="135"/>
      <c r="F64" s="135"/>
      <c r="G64" s="135"/>
      <c r="H64" s="135"/>
      <c r="I64" s="135"/>
      <c r="J64" s="135"/>
      <c r="K64" s="135"/>
      <c r="L64" s="135"/>
      <c r="M64" s="135"/>
      <c r="N64" s="135"/>
      <c r="O64" s="135"/>
      <c r="P64" s="136"/>
    </row>
    <row r="65" spans="2:16" s="1" customFormat="1" x14ac:dyDescent="0.25">
      <c r="C65" s="137"/>
    </row>
    <row r="66" spans="2:16" s="1" customFormat="1" x14ac:dyDescent="0.25">
      <c r="B66" s="173"/>
      <c r="C66" s="174"/>
      <c r="D66" s="174"/>
      <c r="E66" s="174"/>
      <c r="F66" s="174"/>
      <c r="G66" s="174"/>
      <c r="H66" s="174"/>
      <c r="I66" s="174"/>
      <c r="J66" s="174"/>
      <c r="K66" s="174"/>
      <c r="L66" s="174"/>
      <c r="M66" s="174"/>
      <c r="N66" s="174"/>
      <c r="O66" s="174"/>
      <c r="P66" s="175"/>
    </row>
    <row r="67" spans="2:16" s="1" customFormat="1" ht="15.75" x14ac:dyDescent="0.25">
      <c r="B67" s="176"/>
      <c r="C67" s="177" t="s">
        <v>171</v>
      </c>
      <c r="D67" s="35"/>
      <c r="E67" s="35"/>
      <c r="F67" s="35"/>
      <c r="G67" s="35"/>
      <c r="H67" s="35"/>
      <c r="I67" s="35"/>
      <c r="J67" s="35"/>
      <c r="K67" s="35"/>
      <c r="L67" s="35"/>
      <c r="M67" s="35"/>
      <c r="N67" s="35"/>
      <c r="O67" s="35"/>
      <c r="P67" s="178"/>
    </row>
    <row r="68" spans="2:16" s="1" customFormat="1" x14ac:dyDescent="0.25">
      <c r="B68" s="176"/>
      <c r="C68" s="35"/>
      <c r="D68" s="35"/>
      <c r="E68" s="35"/>
      <c r="F68" s="35"/>
      <c r="G68" s="35"/>
      <c r="H68" s="35"/>
      <c r="I68" s="35"/>
      <c r="J68" s="35"/>
      <c r="K68" s="35"/>
      <c r="L68" s="35"/>
      <c r="M68" s="35"/>
      <c r="N68" s="35"/>
      <c r="O68" s="35"/>
      <c r="P68" s="178"/>
    </row>
    <row r="69" spans="2:16" s="1" customFormat="1" x14ac:dyDescent="0.25">
      <c r="B69" s="176"/>
      <c r="C69" s="35"/>
      <c r="D69" s="35"/>
      <c r="E69" s="35"/>
      <c r="F69" s="35"/>
      <c r="G69" s="35"/>
      <c r="H69" s="35"/>
      <c r="I69" s="35"/>
      <c r="J69" s="35"/>
      <c r="K69" s="35"/>
      <c r="L69" s="35"/>
      <c r="M69" s="35"/>
      <c r="N69" s="35"/>
      <c r="O69" s="35"/>
      <c r="P69" s="178"/>
    </row>
    <row r="70" spans="2:16" s="1" customFormat="1" x14ac:dyDescent="0.25">
      <c r="B70" s="176"/>
      <c r="C70" s="35"/>
      <c r="D70" s="35"/>
      <c r="E70" s="35"/>
      <c r="F70" s="35"/>
      <c r="G70" s="35"/>
      <c r="H70" s="35"/>
      <c r="I70" s="35"/>
      <c r="J70" s="35"/>
      <c r="K70" s="35"/>
      <c r="L70" s="35"/>
      <c r="M70" s="35"/>
      <c r="N70" s="35"/>
      <c r="O70" s="35"/>
      <c r="P70" s="178"/>
    </row>
    <row r="71" spans="2:16" s="1" customFormat="1" x14ac:dyDescent="0.25">
      <c r="B71" s="176"/>
      <c r="C71" s="35"/>
      <c r="D71" s="35"/>
      <c r="E71" s="35"/>
      <c r="F71" s="35"/>
      <c r="G71" s="35"/>
      <c r="H71" s="35"/>
      <c r="I71" s="35"/>
      <c r="J71" s="35"/>
      <c r="K71" s="35"/>
      <c r="L71" s="35"/>
      <c r="M71" s="35"/>
      <c r="N71" s="35"/>
      <c r="O71" s="35"/>
      <c r="P71" s="178"/>
    </row>
    <row r="72" spans="2:16" s="1" customFormat="1" x14ac:dyDescent="0.25">
      <c r="B72" s="176"/>
      <c r="C72" s="35"/>
      <c r="D72" s="35"/>
      <c r="E72" s="35"/>
      <c r="F72" s="35"/>
      <c r="G72" s="35"/>
      <c r="H72" s="35"/>
      <c r="I72" s="35"/>
      <c r="J72" s="35"/>
      <c r="K72" s="35"/>
      <c r="L72" s="35"/>
      <c r="M72" s="35"/>
      <c r="N72" s="35"/>
      <c r="O72" s="35"/>
      <c r="P72" s="178"/>
    </row>
    <row r="73" spans="2:16" s="1" customFormat="1" x14ac:dyDescent="0.25">
      <c r="B73" s="176"/>
      <c r="C73" s="35"/>
      <c r="D73" s="35"/>
      <c r="E73" s="35"/>
      <c r="F73" s="35"/>
      <c r="G73" s="35"/>
      <c r="H73" s="35"/>
      <c r="I73" s="35"/>
      <c r="J73" s="35"/>
      <c r="K73" s="35"/>
      <c r="L73" s="35"/>
      <c r="M73" s="35"/>
      <c r="N73" s="35"/>
      <c r="O73" s="35"/>
      <c r="P73" s="178"/>
    </row>
    <row r="74" spans="2:16" s="1" customFormat="1" x14ac:dyDescent="0.25">
      <c r="B74" s="176"/>
      <c r="C74" s="35"/>
      <c r="D74" s="35"/>
      <c r="E74" s="35"/>
      <c r="F74" s="35"/>
      <c r="G74" s="35"/>
      <c r="H74" s="35"/>
      <c r="I74" s="35"/>
      <c r="J74" s="35"/>
      <c r="K74" s="35"/>
      <c r="L74" s="35"/>
      <c r="M74" s="35"/>
      <c r="N74" s="35"/>
      <c r="O74" s="35"/>
      <c r="P74" s="178"/>
    </row>
    <row r="75" spans="2:16" s="1" customFormat="1" x14ac:dyDescent="0.25">
      <c r="B75" s="176"/>
      <c r="C75" s="35"/>
      <c r="D75" s="35"/>
      <c r="E75" s="35"/>
      <c r="F75" s="35"/>
      <c r="G75" s="35"/>
      <c r="H75" s="35"/>
      <c r="I75" s="35"/>
      <c r="J75" s="35"/>
      <c r="K75" s="35"/>
      <c r="L75" s="35"/>
      <c r="M75" s="35"/>
      <c r="N75" s="35"/>
      <c r="O75" s="35"/>
      <c r="P75" s="178"/>
    </row>
    <row r="76" spans="2:16" s="1" customFormat="1" x14ac:dyDescent="0.25">
      <c r="B76" s="179"/>
      <c r="C76" s="180"/>
      <c r="D76" s="180"/>
      <c r="E76" s="180"/>
      <c r="F76" s="180"/>
      <c r="G76" s="180"/>
      <c r="H76" s="180"/>
      <c r="I76" s="180"/>
      <c r="J76" s="180"/>
      <c r="K76" s="180"/>
      <c r="L76" s="180"/>
      <c r="M76" s="180"/>
      <c r="N76" s="180"/>
      <c r="O76" s="180"/>
      <c r="P76" s="181"/>
    </row>
    <row r="77" spans="2:16" s="1" customFormat="1" x14ac:dyDescent="0.25"/>
    <row r="78" spans="2:16" s="1" customFormat="1" x14ac:dyDescent="0.25"/>
    <row r="79" spans="2:16" s="1" customFormat="1" x14ac:dyDescent="0.25"/>
    <row r="80" spans="2:16" s="1" customFormat="1" x14ac:dyDescent="0.25"/>
    <row r="81" s="1" customFormat="1" x14ac:dyDescent="0.25"/>
    <row r="82" s="1" customFormat="1" x14ac:dyDescent="0.25"/>
    <row r="83" s="1" customFormat="1" x14ac:dyDescent="0.25"/>
    <row r="84" s="1" customFormat="1" x14ac:dyDescent="0.25"/>
    <row r="85" s="1" customFormat="1" x14ac:dyDescent="0.25"/>
    <row r="86" s="1" customFormat="1" x14ac:dyDescent="0.25"/>
    <row r="87" s="1" customFormat="1" x14ac:dyDescent="0.25"/>
    <row r="88" s="1" customFormat="1" x14ac:dyDescent="0.25"/>
    <row r="89" s="1" customFormat="1" x14ac:dyDescent="0.25"/>
    <row r="90" s="1" customFormat="1" x14ac:dyDescent="0.25"/>
    <row r="91" s="1" customFormat="1" x14ac:dyDescent="0.25"/>
    <row r="92" s="1" customFormat="1" x14ac:dyDescent="0.25"/>
    <row r="93" s="1" customFormat="1" x14ac:dyDescent="0.25"/>
    <row r="94" s="1" customFormat="1" x14ac:dyDescent="0.25"/>
    <row r="95" s="1" customFormat="1" x14ac:dyDescent="0.25"/>
    <row r="96" s="1" customFormat="1" x14ac:dyDescent="0.25"/>
    <row r="97" s="1" customFormat="1" x14ac:dyDescent="0.25"/>
    <row r="98" s="1" customFormat="1" x14ac:dyDescent="0.25"/>
    <row r="99" s="1" customFormat="1" x14ac:dyDescent="0.25"/>
    <row r="100" s="1" customFormat="1" x14ac:dyDescent="0.25"/>
    <row r="101" s="1" customFormat="1" x14ac:dyDescent="0.25"/>
    <row r="102" s="1" customFormat="1" x14ac:dyDescent="0.25"/>
    <row r="103" s="1" customFormat="1" x14ac:dyDescent="0.25"/>
    <row r="104" s="1" customFormat="1" x14ac:dyDescent="0.25"/>
    <row r="105" s="1" customFormat="1" x14ac:dyDescent="0.25"/>
    <row r="106" s="1" customFormat="1" x14ac:dyDescent="0.25"/>
    <row r="107" s="1" customFormat="1" x14ac:dyDescent="0.25"/>
    <row r="108" s="1" customFormat="1" x14ac:dyDescent="0.25"/>
    <row r="109" s="1" customFormat="1" x14ac:dyDescent="0.25"/>
    <row r="110" s="1" customFormat="1" x14ac:dyDescent="0.25"/>
    <row r="111" s="1" customFormat="1" x14ac:dyDescent="0.25"/>
    <row r="112" s="1" customFormat="1" x14ac:dyDescent="0.25"/>
    <row r="113" s="1" customFormat="1" x14ac:dyDescent="0.25"/>
    <row r="114" s="1" customFormat="1" x14ac:dyDescent="0.25"/>
    <row r="115" s="1" customFormat="1" x14ac:dyDescent="0.25"/>
    <row r="116" s="1" customFormat="1" x14ac:dyDescent="0.25"/>
    <row r="117" s="1" customFormat="1" x14ac:dyDescent="0.25"/>
    <row r="118" s="1" customFormat="1" x14ac:dyDescent="0.25"/>
    <row r="119" s="1" customFormat="1" x14ac:dyDescent="0.25"/>
    <row r="120" s="1" customFormat="1" x14ac:dyDescent="0.25"/>
    <row r="121" s="1" customFormat="1" x14ac:dyDescent="0.25"/>
    <row r="122" s="1" customFormat="1" x14ac:dyDescent="0.25"/>
    <row r="123" s="1" customFormat="1" x14ac:dyDescent="0.25"/>
    <row r="124" s="1" customFormat="1" x14ac:dyDescent="0.25"/>
    <row r="125" s="1" customFormat="1" x14ac:dyDescent="0.25"/>
    <row r="126" s="1" customFormat="1" x14ac:dyDescent="0.25"/>
    <row r="127" s="1" customFormat="1" x14ac:dyDescent="0.25"/>
    <row r="128" s="1" customFormat="1" x14ac:dyDescent="0.25"/>
    <row r="129" spans="1:18" s="1" customFormat="1" x14ac:dyDescent="0.25"/>
    <row r="130" spans="1:18" s="1" customFormat="1" x14ac:dyDescent="0.25"/>
    <row r="131" spans="1:18" s="1" customFormat="1" x14ac:dyDescent="0.25"/>
    <row r="132" spans="1:18" s="1" customFormat="1" x14ac:dyDescent="0.25"/>
    <row r="133" spans="1:18" s="1" customFormat="1" x14ac:dyDescent="0.25"/>
    <row r="134" spans="1:18" s="1" customFormat="1" x14ac:dyDescent="0.25"/>
    <row r="135" spans="1:18" s="1" customFormat="1" x14ac:dyDescent="0.25"/>
    <row r="136" spans="1:18" s="1" customFormat="1" x14ac:dyDescent="0.25"/>
    <row r="137" spans="1:18" s="1" customFormat="1" x14ac:dyDescent="0.25"/>
    <row r="138" spans="1:18" x14ac:dyDescent="0.25">
      <c r="A138" s="1"/>
      <c r="B138" s="1"/>
      <c r="C138" s="1"/>
      <c r="D138" s="1"/>
      <c r="E138" s="1"/>
      <c r="F138" s="1"/>
      <c r="G138" s="1"/>
      <c r="H138" s="1"/>
      <c r="I138" s="1"/>
      <c r="J138" s="1"/>
      <c r="K138" s="1"/>
      <c r="L138" s="1"/>
      <c r="M138" s="1"/>
      <c r="N138" s="1"/>
      <c r="O138" s="1"/>
      <c r="P138" s="1"/>
      <c r="Q138" s="1"/>
      <c r="R138" s="1"/>
    </row>
    <row r="139" spans="1:18" x14ac:dyDescent="0.25">
      <c r="A139" s="1"/>
      <c r="B139" s="1"/>
      <c r="C139" s="1"/>
      <c r="D139" s="1"/>
      <c r="E139" s="1"/>
      <c r="F139" s="1"/>
      <c r="G139" s="1"/>
      <c r="H139" s="1"/>
      <c r="I139" s="1"/>
      <c r="J139" s="1"/>
      <c r="K139" s="1"/>
      <c r="L139" s="1"/>
      <c r="M139" s="1"/>
      <c r="N139" s="1"/>
      <c r="O139" s="1"/>
      <c r="P139" s="1"/>
      <c r="Q139" s="1"/>
      <c r="R139" s="1"/>
    </row>
    <row r="140" spans="1:18" x14ac:dyDescent="0.25">
      <c r="A140" s="1"/>
      <c r="B140" s="1"/>
      <c r="C140" s="1"/>
      <c r="D140" s="1"/>
      <c r="E140" s="1"/>
      <c r="F140" s="1"/>
      <c r="G140" s="1"/>
      <c r="H140" s="1"/>
      <c r="I140" s="1"/>
      <c r="J140" s="1"/>
      <c r="K140" s="1"/>
      <c r="L140" s="1"/>
      <c r="M140" s="1"/>
      <c r="N140" s="1"/>
      <c r="O140" s="1"/>
      <c r="P140" s="1"/>
      <c r="Q140" s="1"/>
      <c r="R140" s="1"/>
    </row>
    <row r="141" spans="1:18" x14ac:dyDescent="0.25">
      <c r="A141" s="1"/>
      <c r="B141" s="1"/>
      <c r="C141" s="1"/>
      <c r="D141" s="1"/>
      <c r="E141" s="1"/>
      <c r="F141" s="1"/>
      <c r="G141" s="1"/>
      <c r="H141" s="1"/>
      <c r="I141" s="1"/>
      <c r="J141" s="1"/>
      <c r="K141" s="1"/>
      <c r="L141" s="1"/>
      <c r="M141" s="1"/>
      <c r="N141" s="1"/>
      <c r="O141" s="1"/>
      <c r="P141" s="1"/>
      <c r="Q141" s="1"/>
    </row>
    <row r="142" spans="1:18" x14ac:dyDescent="0.25">
      <c r="A142" s="1"/>
      <c r="B142" s="1"/>
      <c r="C142" s="1"/>
      <c r="D142" s="1"/>
      <c r="E142" s="1"/>
      <c r="F142" s="1"/>
      <c r="G142" s="1"/>
      <c r="H142" s="1"/>
      <c r="I142" s="1"/>
      <c r="J142" s="1"/>
      <c r="K142" s="1"/>
      <c r="L142" s="1"/>
      <c r="M142" s="1"/>
      <c r="N142" s="1"/>
      <c r="O142" s="1"/>
      <c r="P142" s="1"/>
      <c r="Q142" s="1"/>
    </row>
    <row r="143" spans="1:18" x14ac:dyDescent="0.25">
      <c r="A143" s="1"/>
      <c r="B143" s="1"/>
      <c r="C143" s="1"/>
      <c r="D143" s="1"/>
      <c r="E143" s="1"/>
      <c r="F143" s="1"/>
      <c r="G143" s="1"/>
      <c r="H143" s="1"/>
      <c r="I143" s="1"/>
      <c r="J143" s="1"/>
      <c r="K143" s="1"/>
      <c r="L143" s="1"/>
      <c r="M143" s="1"/>
      <c r="N143" s="1"/>
      <c r="O143" s="1"/>
      <c r="P143" s="1"/>
      <c r="Q143" s="1"/>
    </row>
    <row r="144" spans="1:18" x14ac:dyDescent="0.25">
      <c r="Q144" s="1"/>
    </row>
    <row r="145" spans="17:17" x14ac:dyDescent="0.25">
      <c r="Q145" s="1"/>
    </row>
    <row r="146" spans="17:17" x14ac:dyDescent="0.25">
      <c r="Q146" s="1"/>
    </row>
  </sheetData>
  <sheetProtection selectLockedCells="1"/>
  <mergeCells count="1">
    <mergeCell ref="C3:L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9" tint="0.79998168889431442"/>
    <pageSetUpPr fitToPage="1"/>
  </sheetPr>
  <dimension ref="A1:BF57"/>
  <sheetViews>
    <sheetView tabSelected="1" showWhiteSpace="0" zoomScale="90" zoomScaleNormal="90" zoomScaleSheetLayoutView="80" workbookViewId="0">
      <selection activeCell="F5" sqref="F5:J5"/>
    </sheetView>
  </sheetViews>
  <sheetFormatPr defaultColWidth="0" defaultRowHeight="14.25" x14ac:dyDescent="0.2"/>
  <cols>
    <col min="1" max="1" width="2.85546875" style="60" customWidth="1"/>
    <col min="2" max="2" width="0.140625" style="60" customWidth="1"/>
    <col min="3" max="3" width="13.5703125" style="61" customWidth="1"/>
    <col min="4" max="5" width="9.85546875" style="60" customWidth="1"/>
    <col min="6" max="6" width="13.5703125" style="60" customWidth="1"/>
    <col min="7" max="8" width="10" style="60" customWidth="1"/>
    <col min="9" max="9" width="13.5703125" style="60" customWidth="1"/>
    <col min="10" max="11" width="10" style="60" customWidth="1"/>
    <col min="12" max="12" width="13.5703125" style="60" customWidth="1"/>
    <col min="13" max="14" width="10" style="60" customWidth="1"/>
    <col min="15" max="16" width="2.28515625" style="60" customWidth="1"/>
    <col min="17" max="17" width="20.5703125" style="60" customWidth="1"/>
    <col min="18" max="18" width="16.42578125" style="60" customWidth="1"/>
    <col min="19" max="20" width="2.140625" style="60" customWidth="1"/>
    <col min="21" max="21" width="22.85546875" style="60" customWidth="1"/>
    <col min="22" max="22" width="16.140625" style="60" customWidth="1"/>
    <col min="23" max="23" width="1.42578125" style="60" customWidth="1"/>
    <col min="24" max="24" width="2.140625" style="60" customWidth="1"/>
    <col min="25" max="25" width="22.85546875" style="60" customWidth="1"/>
    <col min="26" max="26" width="16.140625" style="60" customWidth="1"/>
    <col min="27" max="27" width="1.42578125" style="60" customWidth="1"/>
    <col min="28" max="28" width="2.140625" style="60" customWidth="1"/>
    <col min="29" max="30" width="2.5703125" style="60" hidden="1" customWidth="1"/>
    <col min="31" max="31" width="2.42578125" style="60" bestFit="1" customWidth="1"/>
    <col min="32" max="33" width="11.85546875" style="60" hidden="1" customWidth="1"/>
    <col min="34" max="34" width="2.42578125" style="60" hidden="1" customWidth="1"/>
    <col min="35" max="37" width="11.85546875" style="60" hidden="1" customWidth="1"/>
    <col min="38" max="38" width="12.42578125" style="60" hidden="1" customWidth="1"/>
    <col min="39" max="39" width="11.85546875" style="60" hidden="1" customWidth="1"/>
    <col min="40" max="40" width="6.28515625" style="60" hidden="1" customWidth="1"/>
    <col min="41" max="43" width="11.85546875" style="60" hidden="1" customWidth="1"/>
    <col min="44" max="44" width="9.140625" style="60" hidden="1" customWidth="1"/>
    <col min="45" max="45" width="8.85546875" style="60" hidden="1" customWidth="1"/>
    <col min="46" max="46" width="16.28515625" style="60" hidden="1" customWidth="1"/>
    <col min="47" max="47" width="14.42578125" style="60" hidden="1" customWidth="1"/>
    <col min="48" max="48" width="13.85546875" style="60" hidden="1" customWidth="1"/>
    <col min="49" max="49" width="17.5703125" style="60" hidden="1" customWidth="1"/>
    <col min="50" max="50" width="14.140625" style="60" hidden="1" customWidth="1"/>
    <col min="51" max="55" width="17.5703125" style="60" hidden="1" customWidth="1"/>
    <col min="56" max="56" width="3" style="60" hidden="1" customWidth="1"/>
    <col min="57" max="57" width="2.85546875" style="60" hidden="1" customWidth="1"/>
    <col min="58" max="16384" width="0" style="60" hidden="1"/>
  </cols>
  <sheetData>
    <row r="1" spans="1:58" ht="7.5" customHeight="1" x14ac:dyDescent="0.2">
      <c r="A1" s="110"/>
      <c r="D1" s="109"/>
      <c r="E1" s="109"/>
      <c r="F1" s="109"/>
      <c r="G1" s="109"/>
      <c r="H1" s="109"/>
      <c r="I1" s="109"/>
      <c r="J1" s="109"/>
      <c r="K1" s="109"/>
      <c r="L1" s="109"/>
      <c r="M1" s="109"/>
      <c r="N1" s="109"/>
      <c r="O1" s="109"/>
      <c r="P1" s="109"/>
      <c r="Q1" s="109"/>
      <c r="R1" s="109"/>
      <c r="S1" s="109"/>
      <c r="T1" s="109"/>
      <c r="U1" s="109"/>
      <c r="V1" s="109"/>
      <c r="W1" s="109"/>
    </row>
    <row r="2" spans="1:58" ht="7.5" customHeight="1" x14ac:dyDescent="0.2">
      <c r="C2" s="257" t="str">
        <f>"Statistical Process Control - "&amp;IF(V3="Yes","P' chart","P chart")</f>
        <v>Statistical Process Control - P chart</v>
      </c>
      <c r="D2" s="257"/>
      <c r="E2" s="257"/>
      <c r="F2" s="257"/>
      <c r="G2" s="257"/>
      <c r="H2" s="257"/>
      <c r="I2" s="257"/>
    </row>
    <row r="3" spans="1:58" ht="22.5" customHeight="1" x14ac:dyDescent="0.25">
      <c r="C3" s="257"/>
      <c r="D3" s="257"/>
      <c r="E3" s="257"/>
      <c r="F3" s="257"/>
      <c r="G3" s="257"/>
      <c r="H3" s="257"/>
      <c r="I3" s="257"/>
      <c r="K3" s="106"/>
      <c r="L3" s="277" t="s">
        <v>100</v>
      </c>
      <c r="M3" s="277"/>
      <c r="N3" s="89"/>
      <c r="O3" s="89"/>
      <c r="Q3" s="108">
        <v>0.9</v>
      </c>
      <c r="R3" s="89"/>
      <c r="T3" s="89"/>
      <c r="U3" s="89" t="s">
        <v>156</v>
      </c>
      <c r="V3" s="108" t="s">
        <v>55</v>
      </c>
      <c r="X3" s="276"/>
      <c r="AU3" s="103">
        <v>0.33333333333333331</v>
      </c>
    </row>
    <row r="4" spans="1:58" ht="7.5" customHeight="1" x14ac:dyDescent="0.4">
      <c r="C4" s="107"/>
      <c r="D4" s="107"/>
      <c r="E4" s="107"/>
      <c r="F4" s="107"/>
      <c r="K4" s="106"/>
      <c r="L4" s="105"/>
      <c r="M4" s="95"/>
      <c r="N4" s="89"/>
      <c r="O4" s="89"/>
      <c r="P4" s="95"/>
      <c r="Q4" s="89"/>
      <c r="R4" s="89"/>
      <c r="S4" s="89"/>
      <c r="T4" s="89"/>
      <c r="U4" s="89"/>
      <c r="V4" s="104"/>
      <c r="X4" s="276"/>
      <c r="AU4" s="103"/>
    </row>
    <row r="5" spans="1:58" s="88" customFormat="1" ht="22.5" customHeight="1" x14ac:dyDescent="0.3">
      <c r="C5" s="83" t="s">
        <v>99</v>
      </c>
      <c r="D5" s="96"/>
      <c r="F5" s="280" t="s">
        <v>181</v>
      </c>
      <c r="G5" s="281"/>
      <c r="H5" s="281"/>
      <c r="I5" s="281"/>
      <c r="J5" s="282"/>
      <c r="L5" s="260"/>
      <c r="M5" s="260"/>
      <c r="N5" s="98"/>
      <c r="O5" s="256"/>
      <c r="P5" s="256"/>
      <c r="Q5" s="256"/>
      <c r="U5" s="156" t="s">
        <v>59</v>
      </c>
      <c r="V5" s="96"/>
      <c r="X5" s="276"/>
      <c r="Y5" s="60"/>
      <c r="Z5" s="155"/>
      <c r="AA5" s="155"/>
      <c r="AN5" s="88" t="s">
        <v>98</v>
      </c>
      <c r="AP5" s="88" t="s">
        <v>59</v>
      </c>
      <c r="AU5" s="102">
        <v>0.75</v>
      </c>
      <c r="AV5" s="88" t="s">
        <v>97</v>
      </c>
      <c r="AX5" s="101" t="s">
        <v>74</v>
      </c>
      <c r="AZ5" s="88" t="s">
        <v>96</v>
      </c>
      <c r="BE5" s="88" t="s">
        <v>95</v>
      </c>
      <c r="BF5" s="88">
        <v>1</v>
      </c>
    </row>
    <row r="6" spans="1:58" s="88" customFormat="1" ht="22.5" customHeight="1" x14ac:dyDescent="0.3">
      <c r="C6" s="83" t="s">
        <v>94</v>
      </c>
      <c r="D6" s="96"/>
      <c r="F6" s="259" t="s">
        <v>178</v>
      </c>
      <c r="G6" s="259"/>
      <c r="H6" s="259"/>
      <c r="I6" s="100"/>
      <c r="J6" s="100"/>
      <c r="L6" s="95" t="s">
        <v>93</v>
      </c>
      <c r="M6" s="95"/>
      <c r="N6" s="94"/>
      <c r="O6" s="94"/>
      <c r="Q6" s="99">
        <v>45565</v>
      </c>
      <c r="R6" s="98"/>
      <c r="S6" s="98"/>
      <c r="U6" s="96"/>
      <c r="V6" s="96"/>
      <c r="X6" s="60"/>
      <c r="Y6" s="60"/>
      <c r="AN6" s="88" t="s">
        <v>92</v>
      </c>
      <c r="AP6" s="88" t="s">
        <v>55</v>
      </c>
      <c r="AV6" s="88" t="s">
        <v>91</v>
      </c>
      <c r="AX6" s="97" t="s">
        <v>90</v>
      </c>
      <c r="AZ6" s="88" t="s">
        <v>68</v>
      </c>
      <c r="BE6" s="88" t="s">
        <v>83</v>
      </c>
      <c r="BF6" s="88">
        <v>2</v>
      </c>
    </row>
    <row r="7" spans="1:58" s="88" customFormat="1" ht="22.5" customHeight="1" x14ac:dyDescent="0.3">
      <c r="C7" s="83" t="s">
        <v>89</v>
      </c>
      <c r="D7" s="96"/>
      <c r="F7" s="259" t="s">
        <v>182</v>
      </c>
      <c r="G7" s="259"/>
      <c r="H7" s="259"/>
      <c r="L7" s="95" t="s">
        <v>88</v>
      </c>
      <c r="M7" s="95"/>
      <c r="N7" s="94"/>
      <c r="O7" s="94"/>
      <c r="Q7" s="93">
        <v>20</v>
      </c>
      <c r="R7" s="160" t="s">
        <v>92</v>
      </c>
      <c r="S7" s="284" t="str">
        <f>IF(R7="days","Include weekends?","")</f>
        <v/>
      </c>
      <c r="T7" s="284"/>
      <c r="U7" s="285"/>
      <c r="V7" s="92"/>
      <c r="W7" s="91"/>
      <c r="X7" s="60"/>
      <c r="Y7" s="60"/>
      <c r="AN7" s="88" t="s">
        <v>87</v>
      </c>
      <c r="AV7" s="88" t="s">
        <v>86</v>
      </c>
      <c r="BE7" s="88" t="s">
        <v>85</v>
      </c>
      <c r="BF7" s="88">
        <v>3</v>
      </c>
    </row>
    <row r="8" spans="1:58" ht="21.75" customHeight="1" thickBot="1" x14ac:dyDescent="0.35">
      <c r="B8" s="88"/>
      <c r="C8" s="159" t="s">
        <v>84</v>
      </c>
      <c r="F8" s="283" t="s">
        <v>95</v>
      </c>
      <c r="G8" s="283"/>
      <c r="H8" s="283"/>
      <c r="L8" s="90" t="s">
        <v>82</v>
      </c>
      <c r="M8" s="89"/>
      <c r="N8" s="89"/>
      <c r="O8" s="89"/>
      <c r="Q8" s="89"/>
      <c r="R8" s="89"/>
      <c r="S8" s="89"/>
      <c r="U8" s="90"/>
      <c r="V8" s="89"/>
      <c r="W8" s="89"/>
      <c r="Z8" s="88"/>
      <c r="AA8" s="88"/>
      <c r="AB8" s="88"/>
      <c r="AN8" s="88" t="s">
        <v>81</v>
      </c>
    </row>
    <row r="9" spans="1:58" ht="30.75" customHeight="1" thickBot="1" x14ac:dyDescent="0.25">
      <c r="B9" s="72"/>
      <c r="C9" s="225" t="s">
        <v>180</v>
      </c>
      <c r="D9" s="226" t="str">
        <f>F7</f>
        <v>within 7-Working-Days target</v>
      </c>
      <c r="E9" s="226" t="s">
        <v>179</v>
      </c>
      <c r="F9" s="227" t="str">
        <f>C9</f>
        <v>Week Commencing</v>
      </c>
      <c r="G9" s="226" t="str">
        <f>F7</f>
        <v>within 7-Working-Days target</v>
      </c>
      <c r="H9" s="226" t="str">
        <f>E9</f>
        <v>Out of Total</v>
      </c>
      <c r="I9" s="227" t="str">
        <f>C9</f>
        <v>Week Commencing</v>
      </c>
      <c r="J9" s="226" t="str">
        <f>F7</f>
        <v>within 7-Working-Days target</v>
      </c>
      <c r="K9" s="226" t="s">
        <v>80</v>
      </c>
      <c r="L9" s="227" t="str">
        <f>C9</f>
        <v>Week Commencing</v>
      </c>
      <c r="M9" s="226" t="str">
        <f>F7</f>
        <v>within 7-Working-Days target</v>
      </c>
      <c r="N9" s="228" t="str">
        <f>E9</f>
        <v>Out of Total</v>
      </c>
      <c r="O9" s="75"/>
      <c r="AC9" s="65"/>
    </row>
    <row r="10" spans="1:58" ht="15.75" customHeight="1" x14ac:dyDescent="0.25">
      <c r="B10" s="76">
        <v>1</v>
      </c>
      <c r="C10" s="229">
        <f>IF(V3="No",IF(WEEKDAY(Q6)=1,Q6+1,IF(WEEKDAY(Q6)=7,Q6+2,Q6)),Q6)</f>
        <v>45565</v>
      </c>
      <c r="D10">
        <v>67</v>
      </c>
      <c r="E10">
        <v>86</v>
      </c>
      <c r="F10" s="163" t="str">
        <f>IF(OR(C37="",B38&gt;$Q$7),"",IF($R$7="Days",IF($V$7="No",IF(WEEKDAY(C37)=6,C37+3,C37+1),C37+1),IF($R$7="Months",VALUE(DAY($C37)&amp;"/"&amp;MONTH(C37+31)&amp;"/"&amp;YEAR(C37+31)),IF($R$7="Quarters",VALUE(DAY($C37)&amp;"/"&amp;MONTH(C37+93)&amp;"/"&amp;YEAR(C37+93)),C37+7))))</f>
        <v/>
      </c>
      <c r="G10" s="214"/>
      <c r="H10" s="214"/>
      <c r="I10" s="163" t="str">
        <f>IF(OR(F37="",D38&gt;$Q$7),"",IF($R$7="Days",IF($V$7="No",IF(WEEKDAY(F37)=6,F37+3,F37+1),F37+1),IF($R$7="Months",VALUE(DAY($C37)&amp;"/"&amp;MONTH(F37+31)&amp;"/"&amp;YEAR(F37+31)),IF($R$7="Quarters",VALUE(DAY($C37)&amp;"/"&amp;MONTH(F37+93)&amp;"/"&amp;YEAR(F37+93)),F37+7))))</f>
        <v/>
      </c>
      <c r="J10" s="214"/>
      <c r="K10" s="214"/>
      <c r="L10" s="163" t="str">
        <f>IF(OR(I37="",F38&gt;$Q$7),"",IF($R$7="Days",IF($V$7="No",IF(WEEKDAY(I37)=6,I37+3,I37+1),I37+1),IF($R$7="Months",VALUE(DAY($C37)&amp;"/"&amp;MONTH(I37+31)&amp;"/"&amp;YEAR(I37+31)),IF($R$7="Quarters",VALUE(DAY($C37)&amp;"/"&amp;MONTH(I37+93)&amp;"/"&amp;YEAR(I37+93)),I37+7))))</f>
        <v/>
      </c>
      <c r="M10" s="214"/>
      <c r="N10" s="219"/>
      <c r="O10" s="75"/>
      <c r="AC10" s="65"/>
    </row>
    <row r="11" spans="1:58" ht="15.75" customHeight="1" x14ac:dyDescent="0.3">
      <c r="B11" s="76">
        <v>2</v>
      </c>
      <c r="C11" s="230">
        <f t="shared" ref="C11:C37" si="0">IF(OR(C10="",B11&gt;$Q$7),"",IF($R$7="Days",IF($V$7="No",IF(WEEKDAY(C10)=6,C10+3,C10+1),C10+1),IF($R$7="Months",VALUE(DAY($C10)&amp;"/"&amp;MONTH(C10+31)&amp;"/"&amp;YEAR(C10+31)),IF($R$7="Quarters",VALUE(DAY($C10)&amp;"/"&amp;MONTH(C10+93)&amp;"/"&amp;YEAR(C10+93)),C10+7))))</f>
        <v>45572</v>
      </c>
      <c r="D11">
        <v>72</v>
      </c>
      <c r="E11">
        <v>75</v>
      </c>
      <c r="F11" s="138" t="str">
        <f t="shared" ref="F11:F37" si="1">IF(OR(F10="",B11+28&gt;$Q$7),"",IF($R$7="Days",IF($V$7="No",IF(WEEKDAY(F10)=6,F10+3,F10+1),F10+1),IF($R$7="Months",VALUE(DAY($C10)&amp;"/"&amp;MONTH(F10+31)&amp;"/"&amp;YEAR(F10+31)),IF($R$7="Quarters",VALUE(DAY($C10)&amp;"/"&amp;MONTH(F10+93)&amp;"/"&amp;YEAR(F10+93)),F10+7))))</f>
        <v/>
      </c>
      <c r="G11" s="213"/>
      <c r="H11" s="220"/>
      <c r="I11" s="138" t="str">
        <f t="shared" ref="I11:I37" si="2">IF(OR(I10="",B11+56&gt;$Q$7),"",IF($R$7="Days",IF($V$7="No",IF(WEEKDAY(I10)=6,I10+3,I10+1),I10+1),IF($R$7="Months",VALUE(DAY($C10)&amp;"/"&amp;MONTH(I10+31)&amp;"/"&amp;YEAR(I10+31)),IF($R$7="Quarters",VALUE(DAY($C10)&amp;"/"&amp;MONTH(I10+93)&amp;"/"&amp;YEAR(I10+93)),I10+7))))</f>
        <v/>
      </c>
      <c r="J11" s="215"/>
      <c r="K11" s="215"/>
      <c r="L11" s="138" t="str">
        <f t="shared" ref="L11:L37" si="3">IF(OR(L10="",B11+84&gt;$Q$7),"",IF($R$7="Days",IF($V$7="No",IF(WEEKDAY(L10)=6,L10+3,L10+1),L10+1),IF($R$7="Months",VALUE(DAY($C10)&amp;"/"&amp;MONTH(L10+31)&amp;"/"&amp;YEAR(L10+31)),IF($R$7="Quarters",VALUE(DAY($C10)&amp;"/"&amp;MONTH(L10+93)&amp;"/"&amp;YEAR(L10+93)),L10+7))))</f>
        <v/>
      </c>
      <c r="M11" s="215"/>
      <c r="N11" s="216"/>
      <c r="O11" s="75"/>
      <c r="AC11" s="65"/>
      <c r="AG11" s="88"/>
      <c r="AH11" s="88"/>
    </row>
    <row r="12" spans="1:58" ht="15.75" customHeight="1" x14ac:dyDescent="0.3">
      <c r="B12" s="76">
        <v>3</v>
      </c>
      <c r="C12" s="230">
        <f t="shared" si="0"/>
        <v>45579</v>
      </c>
      <c r="D12">
        <v>77</v>
      </c>
      <c r="E12">
        <v>84</v>
      </c>
      <c r="F12" s="138" t="str">
        <f t="shared" si="1"/>
        <v/>
      </c>
      <c r="G12" s="213"/>
      <c r="H12" s="220"/>
      <c r="I12" s="138" t="str">
        <f t="shared" si="2"/>
        <v/>
      </c>
      <c r="J12" s="215"/>
      <c r="K12" s="215"/>
      <c r="L12" s="138" t="str">
        <f t="shared" si="3"/>
        <v/>
      </c>
      <c r="M12" s="215"/>
      <c r="N12" s="216"/>
      <c r="O12" s="75"/>
      <c r="AC12" s="88"/>
      <c r="AD12" s="88"/>
      <c r="AE12" s="88"/>
      <c r="AG12" s="88"/>
      <c r="AH12" s="88"/>
    </row>
    <row r="13" spans="1:58" ht="15.75" customHeight="1" x14ac:dyDescent="0.3">
      <c r="B13" s="76">
        <v>4</v>
      </c>
      <c r="C13" s="230">
        <f t="shared" si="0"/>
        <v>45586</v>
      </c>
      <c r="D13">
        <v>61</v>
      </c>
      <c r="E13">
        <v>64</v>
      </c>
      <c r="F13" s="138" t="str">
        <f t="shared" si="1"/>
        <v/>
      </c>
      <c r="G13" s="213"/>
      <c r="H13" s="220"/>
      <c r="I13" s="138" t="str">
        <f t="shared" si="2"/>
        <v/>
      </c>
      <c r="J13" s="215"/>
      <c r="K13" s="215"/>
      <c r="L13" s="138" t="str">
        <f t="shared" si="3"/>
        <v/>
      </c>
      <c r="M13" s="215"/>
      <c r="N13" s="216"/>
      <c r="O13" s="75"/>
      <c r="AC13" s="88"/>
      <c r="AD13" s="88"/>
      <c r="AE13" s="88"/>
      <c r="AG13" s="88"/>
      <c r="AH13" s="88"/>
    </row>
    <row r="14" spans="1:58" ht="15.75" customHeight="1" x14ac:dyDescent="0.3">
      <c r="B14" s="76">
        <v>5</v>
      </c>
      <c r="C14" s="230">
        <f t="shared" si="0"/>
        <v>45593</v>
      </c>
      <c r="D14">
        <v>55</v>
      </c>
      <c r="E14">
        <v>64</v>
      </c>
      <c r="F14" s="138" t="str">
        <f t="shared" si="1"/>
        <v/>
      </c>
      <c r="G14" s="215"/>
      <c r="H14" s="216"/>
      <c r="I14" s="138" t="str">
        <f t="shared" si="2"/>
        <v/>
      </c>
      <c r="J14" s="215"/>
      <c r="K14" s="215"/>
      <c r="L14" s="138" t="str">
        <f t="shared" si="3"/>
        <v/>
      </c>
      <c r="M14" s="215"/>
      <c r="N14" s="216"/>
      <c r="O14" s="75"/>
      <c r="AC14" s="88"/>
      <c r="AD14" s="88"/>
      <c r="AE14" s="88"/>
    </row>
    <row r="15" spans="1:58" ht="15.75" customHeight="1" x14ac:dyDescent="0.25">
      <c r="B15" s="76">
        <v>6</v>
      </c>
      <c r="C15" s="230">
        <f t="shared" si="0"/>
        <v>45600</v>
      </c>
      <c r="D15">
        <v>69</v>
      </c>
      <c r="E15">
        <v>80</v>
      </c>
      <c r="F15" s="138" t="str">
        <f t="shared" si="1"/>
        <v/>
      </c>
      <c r="G15" s="215"/>
      <c r="H15" s="216"/>
      <c r="I15" s="138" t="str">
        <f t="shared" si="2"/>
        <v/>
      </c>
      <c r="J15" s="215"/>
      <c r="K15" s="215"/>
      <c r="L15" s="138" t="str">
        <f t="shared" si="3"/>
        <v/>
      </c>
      <c r="M15" s="215"/>
      <c r="N15" s="216"/>
      <c r="O15" s="75"/>
    </row>
    <row r="16" spans="1:58" ht="15.75" customHeight="1" x14ac:dyDescent="0.25">
      <c r="B16" s="76">
        <v>7</v>
      </c>
      <c r="C16" s="230">
        <f t="shared" si="0"/>
        <v>45607</v>
      </c>
      <c r="D16">
        <v>49</v>
      </c>
      <c r="E16">
        <v>60</v>
      </c>
      <c r="F16" s="138" t="str">
        <f t="shared" si="1"/>
        <v/>
      </c>
      <c r="G16" s="215"/>
      <c r="H16" s="216"/>
      <c r="I16" s="138" t="str">
        <f t="shared" si="2"/>
        <v/>
      </c>
      <c r="J16" s="215"/>
      <c r="K16" s="215"/>
      <c r="L16" s="138" t="str">
        <f t="shared" si="3"/>
        <v/>
      </c>
      <c r="M16" s="215"/>
      <c r="N16" s="216"/>
      <c r="O16" s="75"/>
    </row>
    <row r="17" spans="2:36" ht="15.75" customHeight="1" x14ac:dyDescent="0.25">
      <c r="B17" s="76">
        <v>8</v>
      </c>
      <c r="C17" s="230">
        <f t="shared" si="0"/>
        <v>45614</v>
      </c>
      <c r="D17">
        <v>54</v>
      </c>
      <c r="E17">
        <v>63</v>
      </c>
      <c r="F17" s="138" t="str">
        <f t="shared" si="1"/>
        <v/>
      </c>
      <c r="G17" s="215"/>
      <c r="H17" s="216"/>
      <c r="I17" s="138" t="str">
        <f t="shared" si="2"/>
        <v/>
      </c>
      <c r="J17" s="215"/>
      <c r="K17" s="215"/>
      <c r="L17" s="138" t="str">
        <f t="shared" si="3"/>
        <v/>
      </c>
      <c r="M17" s="215"/>
      <c r="N17" s="216"/>
      <c r="O17" s="75"/>
    </row>
    <row r="18" spans="2:36" ht="15.75" customHeight="1" x14ac:dyDescent="0.25">
      <c r="B18" s="76">
        <v>9</v>
      </c>
      <c r="C18" s="230">
        <f t="shared" si="0"/>
        <v>45621</v>
      </c>
      <c r="D18">
        <v>55</v>
      </c>
      <c r="E18">
        <v>64</v>
      </c>
      <c r="F18" s="138" t="str">
        <f t="shared" si="1"/>
        <v/>
      </c>
      <c r="G18" s="215"/>
      <c r="H18" s="216"/>
      <c r="I18" s="138" t="str">
        <f t="shared" si="2"/>
        <v/>
      </c>
      <c r="J18" s="215"/>
      <c r="K18" s="215"/>
      <c r="L18" s="138" t="str">
        <f t="shared" si="3"/>
        <v/>
      </c>
      <c r="M18" s="215"/>
      <c r="N18" s="216"/>
      <c r="O18" s="75"/>
    </row>
    <row r="19" spans="2:36" ht="15.75" customHeight="1" x14ac:dyDescent="0.25">
      <c r="B19" s="76">
        <v>10</v>
      </c>
      <c r="C19" s="230">
        <f t="shared" si="0"/>
        <v>45628</v>
      </c>
      <c r="D19">
        <v>74</v>
      </c>
      <c r="E19">
        <v>78</v>
      </c>
      <c r="F19" s="138" t="str">
        <f t="shared" si="1"/>
        <v/>
      </c>
      <c r="G19" s="215"/>
      <c r="H19" s="216"/>
      <c r="I19" s="138" t="str">
        <f t="shared" si="2"/>
        <v/>
      </c>
      <c r="J19" s="215"/>
      <c r="K19" s="215"/>
      <c r="L19" s="138" t="str">
        <f t="shared" si="3"/>
        <v/>
      </c>
      <c r="M19" s="215"/>
      <c r="N19" s="216"/>
      <c r="O19" s="75"/>
    </row>
    <row r="20" spans="2:36" ht="15.75" customHeight="1" x14ac:dyDescent="0.25">
      <c r="B20" s="76">
        <v>11</v>
      </c>
      <c r="C20" s="230">
        <f t="shared" si="0"/>
        <v>45635</v>
      </c>
      <c r="D20">
        <v>58</v>
      </c>
      <c r="E20">
        <v>67</v>
      </c>
      <c r="F20" s="138" t="str">
        <f t="shared" si="1"/>
        <v/>
      </c>
      <c r="G20" s="215"/>
      <c r="H20" s="216"/>
      <c r="I20" s="138" t="str">
        <f t="shared" si="2"/>
        <v/>
      </c>
      <c r="J20" s="215"/>
      <c r="K20" s="215"/>
      <c r="L20" s="138" t="str">
        <f t="shared" si="3"/>
        <v/>
      </c>
      <c r="M20" s="215"/>
      <c r="N20" s="216"/>
      <c r="O20" s="75"/>
      <c r="AC20" s="63"/>
    </row>
    <row r="21" spans="2:36" ht="15.75" customHeight="1" x14ac:dyDescent="0.25">
      <c r="B21" s="76">
        <v>12</v>
      </c>
      <c r="C21" s="230">
        <f t="shared" si="0"/>
        <v>45642</v>
      </c>
      <c r="D21">
        <v>53</v>
      </c>
      <c r="E21">
        <v>65</v>
      </c>
      <c r="F21" s="138" t="str">
        <f t="shared" si="1"/>
        <v/>
      </c>
      <c r="G21" s="215"/>
      <c r="H21" s="216"/>
      <c r="I21" s="138" t="str">
        <f t="shared" si="2"/>
        <v/>
      </c>
      <c r="J21" s="215"/>
      <c r="K21" s="215"/>
      <c r="L21" s="138" t="str">
        <f t="shared" si="3"/>
        <v/>
      </c>
      <c r="M21" s="215"/>
      <c r="N21" s="216"/>
      <c r="O21" s="75"/>
      <c r="AC21" s="63"/>
    </row>
    <row r="22" spans="2:36" ht="15.75" customHeight="1" x14ac:dyDescent="0.25">
      <c r="B22" s="76">
        <v>13</v>
      </c>
      <c r="C22" s="230">
        <f t="shared" si="0"/>
        <v>45649</v>
      </c>
      <c r="D22">
        <v>78</v>
      </c>
      <c r="E22">
        <v>89</v>
      </c>
      <c r="F22" s="138" t="str">
        <f t="shared" si="1"/>
        <v/>
      </c>
      <c r="G22" s="215"/>
      <c r="H22" s="216"/>
      <c r="I22" s="138" t="str">
        <f t="shared" si="2"/>
        <v/>
      </c>
      <c r="J22" s="215"/>
      <c r="K22" s="215"/>
      <c r="L22" s="138" t="str">
        <f t="shared" si="3"/>
        <v/>
      </c>
      <c r="M22" s="215"/>
      <c r="N22" s="216"/>
      <c r="O22" s="75"/>
      <c r="AC22" s="63"/>
    </row>
    <row r="23" spans="2:36" ht="15.75" customHeight="1" x14ac:dyDescent="0.25">
      <c r="B23" s="76">
        <v>14</v>
      </c>
      <c r="C23" s="230">
        <f t="shared" si="0"/>
        <v>45656</v>
      </c>
      <c r="D23">
        <v>53</v>
      </c>
      <c r="E23">
        <v>65</v>
      </c>
      <c r="F23" s="138" t="str">
        <f t="shared" si="1"/>
        <v/>
      </c>
      <c r="G23" s="215"/>
      <c r="H23" s="216"/>
      <c r="I23" s="138" t="str">
        <f t="shared" si="2"/>
        <v/>
      </c>
      <c r="J23" s="215"/>
      <c r="K23" s="215"/>
      <c r="L23" s="138" t="str">
        <f t="shared" si="3"/>
        <v/>
      </c>
      <c r="M23" s="215"/>
      <c r="N23" s="216"/>
      <c r="O23" s="75"/>
      <c r="AC23" s="63"/>
    </row>
    <row r="24" spans="2:36" ht="15.75" customHeight="1" x14ac:dyDescent="0.25">
      <c r="B24" s="76">
        <v>15</v>
      </c>
      <c r="C24" s="230">
        <f t="shared" si="0"/>
        <v>45663</v>
      </c>
      <c r="D24">
        <v>64</v>
      </c>
      <c r="E24">
        <v>73</v>
      </c>
      <c r="F24" s="138" t="str">
        <f t="shared" si="1"/>
        <v/>
      </c>
      <c r="G24" s="215"/>
      <c r="H24" s="216"/>
      <c r="I24" s="138" t="str">
        <f t="shared" si="2"/>
        <v/>
      </c>
      <c r="J24" s="215"/>
      <c r="K24" s="215"/>
      <c r="L24" s="138" t="str">
        <f t="shared" si="3"/>
        <v/>
      </c>
      <c r="M24" s="215"/>
      <c r="N24" s="216"/>
      <c r="O24" s="75"/>
      <c r="AC24" s="63"/>
    </row>
    <row r="25" spans="2:36" ht="15.75" customHeight="1" x14ac:dyDescent="0.25">
      <c r="B25" s="76">
        <v>16</v>
      </c>
      <c r="C25" s="230">
        <f t="shared" si="0"/>
        <v>45670</v>
      </c>
      <c r="D25">
        <v>71</v>
      </c>
      <c r="E25">
        <v>83</v>
      </c>
      <c r="F25" s="138" t="str">
        <f t="shared" si="1"/>
        <v/>
      </c>
      <c r="G25" s="215"/>
      <c r="H25" s="216"/>
      <c r="I25" s="138" t="str">
        <f t="shared" si="2"/>
        <v/>
      </c>
      <c r="J25" s="215"/>
      <c r="K25" s="215"/>
      <c r="L25" s="138" t="str">
        <f t="shared" si="3"/>
        <v/>
      </c>
      <c r="M25" s="215"/>
      <c r="N25" s="216"/>
      <c r="O25" s="75"/>
      <c r="AC25" s="63"/>
    </row>
    <row r="26" spans="2:36" ht="15.75" customHeight="1" x14ac:dyDescent="0.25">
      <c r="B26" s="76">
        <v>17</v>
      </c>
      <c r="C26" s="230">
        <f t="shared" si="0"/>
        <v>45677</v>
      </c>
      <c r="D26">
        <v>68</v>
      </c>
      <c r="E26">
        <v>73</v>
      </c>
      <c r="F26" s="138" t="str">
        <f t="shared" si="1"/>
        <v/>
      </c>
      <c r="G26" s="215"/>
      <c r="H26" s="216"/>
      <c r="I26" s="138" t="str">
        <f t="shared" si="2"/>
        <v/>
      </c>
      <c r="J26" s="215"/>
      <c r="K26" s="215"/>
      <c r="L26" s="138" t="str">
        <f t="shared" si="3"/>
        <v/>
      </c>
      <c r="M26" s="215"/>
      <c r="N26" s="216"/>
      <c r="O26" s="75"/>
      <c r="AC26" s="63"/>
    </row>
    <row r="27" spans="2:36" ht="15.75" customHeight="1" x14ac:dyDescent="0.25">
      <c r="B27" s="76">
        <v>18</v>
      </c>
      <c r="C27" s="230">
        <f t="shared" si="0"/>
        <v>45684</v>
      </c>
      <c r="D27">
        <v>75</v>
      </c>
      <c r="E27">
        <v>83</v>
      </c>
      <c r="F27" s="138" t="str">
        <f t="shared" si="1"/>
        <v/>
      </c>
      <c r="G27" s="215"/>
      <c r="H27" s="216"/>
      <c r="I27" s="138" t="str">
        <f t="shared" si="2"/>
        <v/>
      </c>
      <c r="J27" s="215"/>
      <c r="K27" s="215"/>
      <c r="L27" s="138" t="str">
        <f t="shared" si="3"/>
        <v/>
      </c>
      <c r="M27" s="215"/>
      <c r="N27" s="216"/>
      <c r="O27" s="75"/>
    </row>
    <row r="28" spans="2:36" ht="15.75" customHeight="1" x14ac:dyDescent="0.25">
      <c r="B28" s="76">
        <v>19</v>
      </c>
      <c r="C28" s="230">
        <f t="shared" si="0"/>
        <v>45691</v>
      </c>
      <c r="D28">
        <v>63</v>
      </c>
      <c r="E28">
        <v>79</v>
      </c>
      <c r="F28" s="138" t="str">
        <f t="shared" si="1"/>
        <v/>
      </c>
      <c r="G28" s="215"/>
      <c r="H28" s="216"/>
      <c r="I28" s="138" t="str">
        <f t="shared" si="2"/>
        <v/>
      </c>
      <c r="J28" s="215"/>
      <c r="K28" s="215"/>
      <c r="L28" s="138" t="str">
        <f t="shared" si="3"/>
        <v/>
      </c>
      <c r="M28" s="215"/>
      <c r="N28" s="216"/>
      <c r="O28" s="75"/>
      <c r="AC28" s="66"/>
    </row>
    <row r="29" spans="2:36" ht="15.75" customHeight="1" x14ac:dyDescent="0.25">
      <c r="B29" s="76">
        <v>20</v>
      </c>
      <c r="C29" s="230">
        <f t="shared" si="0"/>
        <v>45698</v>
      </c>
      <c r="D29">
        <v>75</v>
      </c>
      <c r="E29">
        <v>80</v>
      </c>
      <c r="F29" s="138" t="str">
        <f t="shared" si="1"/>
        <v/>
      </c>
      <c r="G29" s="215"/>
      <c r="H29" s="216"/>
      <c r="I29" s="138" t="str">
        <f t="shared" si="2"/>
        <v/>
      </c>
      <c r="J29" s="215"/>
      <c r="K29" s="215"/>
      <c r="L29" s="138" t="str">
        <f t="shared" si="3"/>
        <v/>
      </c>
      <c r="M29" s="215"/>
      <c r="N29" s="216"/>
      <c r="O29" s="75"/>
    </row>
    <row r="30" spans="2:36" ht="15.75" customHeight="1" x14ac:dyDescent="0.2">
      <c r="B30" s="76">
        <v>21</v>
      </c>
      <c r="C30" s="230" t="str">
        <f t="shared" si="0"/>
        <v/>
      </c>
      <c r="D30" s="213"/>
      <c r="E30" s="222"/>
      <c r="F30" s="138" t="str">
        <f t="shared" si="1"/>
        <v/>
      </c>
      <c r="G30" s="215"/>
      <c r="H30" s="216"/>
      <c r="I30" s="138" t="str">
        <f t="shared" si="2"/>
        <v/>
      </c>
      <c r="J30" s="215"/>
      <c r="K30" s="215"/>
      <c r="L30" s="138" t="str">
        <f t="shared" si="3"/>
        <v/>
      </c>
      <c r="M30" s="215"/>
      <c r="N30" s="216"/>
      <c r="O30" s="75"/>
      <c r="P30" s="85"/>
      <c r="Q30" s="278" t="s">
        <v>79</v>
      </c>
      <c r="R30" s="87"/>
      <c r="S30" s="86"/>
      <c r="T30" s="85"/>
      <c r="U30" s="243" t="s">
        <v>78</v>
      </c>
      <c r="V30" s="243"/>
      <c r="W30" s="244"/>
      <c r="X30" s="85"/>
      <c r="Y30" s="243" t="s">
        <v>145</v>
      </c>
      <c r="Z30" s="243"/>
      <c r="AA30" s="244"/>
    </row>
    <row r="31" spans="2:36" ht="15.75" customHeight="1" x14ac:dyDescent="0.2">
      <c r="B31" s="76">
        <v>22</v>
      </c>
      <c r="C31" s="230" t="str">
        <f t="shared" si="0"/>
        <v/>
      </c>
      <c r="D31" s="213"/>
      <c r="E31" s="222"/>
      <c r="F31" s="138" t="str">
        <f t="shared" si="1"/>
        <v/>
      </c>
      <c r="G31" s="215"/>
      <c r="H31" s="216"/>
      <c r="I31" s="138" t="str">
        <f t="shared" si="2"/>
        <v/>
      </c>
      <c r="J31" s="215"/>
      <c r="K31" s="215"/>
      <c r="L31" s="138" t="str">
        <f t="shared" si="3"/>
        <v/>
      </c>
      <c r="M31" s="215"/>
      <c r="N31" s="216"/>
      <c r="O31" s="75"/>
      <c r="P31" s="69"/>
      <c r="Q31" s="279"/>
      <c r="S31" s="77"/>
      <c r="T31" s="69"/>
      <c r="U31" s="245"/>
      <c r="V31" s="245"/>
      <c r="W31" s="246"/>
      <c r="X31" s="69"/>
      <c r="Y31" s="245"/>
      <c r="Z31" s="245"/>
      <c r="AA31" s="246"/>
    </row>
    <row r="32" spans="2:36" ht="15.75" customHeight="1" x14ac:dyDescent="0.2">
      <c r="B32" s="76">
        <v>23</v>
      </c>
      <c r="C32" s="230" t="str">
        <f t="shared" si="0"/>
        <v/>
      </c>
      <c r="D32" s="213"/>
      <c r="E32" s="222"/>
      <c r="F32" s="138" t="str">
        <f t="shared" si="1"/>
        <v/>
      </c>
      <c r="G32" s="215"/>
      <c r="H32" s="216"/>
      <c r="I32" s="138" t="str">
        <f t="shared" si="2"/>
        <v/>
      </c>
      <c r="J32" s="215"/>
      <c r="K32" s="215"/>
      <c r="L32" s="138" t="str">
        <f t="shared" si="3"/>
        <v/>
      </c>
      <c r="M32" s="215"/>
      <c r="N32" s="216"/>
      <c r="O32" s="75"/>
      <c r="P32" s="69"/>
      <c r="Q32" s="279"/>
      <c r="S32" s="77"/>
      <c r="T32" s="69"/>
      <c r="V32" s="221"/>
      <c r="W32" s="77"/>
      <c r="X32" s="69"/>
      <c r="Z32" s="78"/>
      <c r="AA32" s="77"/>
      <c r="AD32" s="65"/>
      <c r="AE32" s="65"/>
      <c r="AF32" s="65"/>
      <c r="AG32" s="65"/>
      <c r="AH32" s="65"/>
      <c r="AI32" s="65"/>
      <c r="AJ32" s="65"/>
    </row>
    <row r="33" spans="2:27" ht="15.75" customHeight="1" x14ac:dyDescent="0.2">
      <c r="B33" s="76">
        <v>24</v>
      </c>
      <c r="C33" s="230" t="str">
        <f t="shared" si="0"/>
        <v/>
      </c>
      <c r="D33" s="213"/>
      <c r="E33" s="222"/>
      <c r="F33" s="138" t="str">
        <f t="shared" si="1"/>
        <v/>
      </c>
      <c r="G33" s="215"/>
      <c r="H33" s="216"/>
      <c r="I33" s="138" t="str">
        <f t="shared" si="2"/>
        <v/>
      </c>
      <c r="J33" s="215"/>
      <c r="K33" s="215"/>
      <c r="L33" s="138" t="str">
        <f t="shared" si="3"/>
        <v/>
      </c>
      <c r="M33" s="215"/>
      <c r="N33" s="216"/>
      <c r="O33" s="75"/>
      <c r="P33" s="69"/>
      <c r="Q33" s="83" t="s">
        <v>77</v>
      </c>
      <c r="R33" s="84">
        <v>0</v>
      </c>
      <c r="S33" s="82"/>
      <c r="T33" s="69"/>
      <c r="V33" s="221"/>
      <c r="W33" s="77"/>
      <c r="X33" s="69"/>
      <c r="Z33" s="78"/>
      <c r="AA33" s="67"/>
    </row>
    <row r="34" spans="2:27" ht="15.75" customHeight="1" x14ac:dyDescent="0.2">
      <c r="B34" s="76">
        <v>25</v>
      </c>
      <c r="C34" s="230" t="str">
        <f t="shared" si="0"/>
        <v/>
      </c>
      <c r="D34" s="213"/>
      <c r="E34" s="222"/>
      <c r="F34" s="138" t="str">
        <f t="shared" si="1"/>
        <v/>
      </c>
      <c r="G34" s="215"/>
      <c r="H34" s="216"/>
      <c r="I34" s="138" t="str">
        <f t="shared" si="2"/>
        <v/>
      </c>
      <c r="J34" s="215"/>
      <c r="K34" s="215"/>
      <c r="L34" s="138" t="str">
        <f t="shared" si="3"/>
        <v/>
      </c>
      <c r="M34" s="215"/>
      <c r="N34" s="216"/>
      <c r="O34" s="75"/>
      <c r="P34" s="69"/>
      <c r="Q34" s="83" t="s">
        <v>76</v>
      </c>
      <c r="R34" s="84">
        <v>1</v>
      </c>
      <c r="S34" s="82"/>
      <c r="T34" s="69"/>
      <c r="V34" s="78"/>
      <c r="W34" s="77"/>
      <c r="X34" s="69"/>
      <c r="Z34" s="78"/>
      <c r="AA34" s="67"/>
    </row>
    <row r="35" spans="2:27" ht="15.75" customHeight="1" x14ac:dyDescent="0.2">
      <c r="B35" s="76">
        <v>26</v>
      </c>
      <c r="C35" s="230" t="str">
        <f t="shared" si="0"/>
        <v/>
      </c>
      <c r="D35" s="213"/>
      <c r="E35" s="222"/>
      <c r="F35" s="138" t="str">
        <f t="shared" si="1"/>
        <v/>
      </c>
      <c r="G35" s="215"/>
      <c r="H35" s="216"/>
      <c r="I35" s="138" t="str">
        <f t="shared" si="2"/>
        <v/>
      </c>
      <c r="J35" s="215"/>
      <c r="K35" s="215"/>
      <c r="L35" s="138" t="str">
        <f t="shared" si="3"/>
        <v/>
      </c>
      <c r="M35" s="215"/>
      <c r="N35" s="216"/>
      <c r="O35" s="75"/>
      <c r="P35" s="69"/>
      <c r="Q35" s="83"/>
      <c r="R35" s="82"/>
      <c r="S35" s="82"/>
      <c r="T35" s="69"/>
      <c r="V35" s="78"/>
      <c r="W35" s="77"/>
      <c r="X35" s="69"/>
      <c r="Z35" s="78"/>
      <c r="AA35" s="67"/>
    </row>
    <row r="36" spans="2:27" ht="15.6" customHeight="1" x14ac:dyDescent="0.2">
      <c r="B36" s="76">
        <v>27</v>
      </c>
      <c r="C36" s="230" t="str">
        <f t="shared" si="0"/>
        <v/>
      </c>
      <c r="D36" s="213"/>
      <c r="E36" s="222"/>
      <c r="F36" s="138" t="str">
        <f t="shared" si="1"/>
        <v/>
      </c>
      <c r="G36" s="215"/>
      <c r="H36" s="216"/>
      <c r="I36" s="138" t="str">
        <f t="shared" si="2"/>
        <v/>
      </c>
      <c r="J36" s="215"/>
      <c r="K36" s="215"/>
      <c r="L36" s="138" t="str">
        <f t="shared" si="3"/>
        <v/>
      </c>
      <c r="M36" s="215"/>
      <c r="N36" s="216"/>
      <c r="O36" s="75"/>
      <c r="P36" s="69"/>
      <c r="Q36" s="81" t="s">
        <v>75</v>
      </c>
      <c r="R36" s="80" t="s">
        <v>90</v>
      </c>
      <c r="S36" s="79"/>
      <c r="T36" s="69"/>
      <c r="V36" s="78"/>
      <c r="W36" s="77"/>
      <c r="X36" s="69"/>
      <c r="AA36" s="67"/>
    </row>
    <row r="37" spans="2:27" ht="15.75" customHeight="1" thickBot="1" x14ac:dyDescent="0.25">
      <c r="B37" s="76">
        <v>28</v>
      </c>
      <c r="C37" s="231" t="str">
        <f t="shared" si="0"/>
        <v/>
      </c>
      <c r="D37" s="223"/>
      <c r="E37" s="224"/>
      <c r="F37" s="139" t="str">
        <f t="shared" si="1"/>
        <v/>
      </c>
      <c r="G37" s="217"/>
      <c r="H37" s="218"/>
      <c r="I37" s="139" t="str">
        <f t="shared" si="2"/>
        <v/>
      </c>
      <c r="J37" s="217"/>
      <c r="K37" s="217"/>
      <c r="L37" s="139" t="str">
        <f t="shared" si="3"/>
        <v/>
      </c>
      <c r="M37" s="217"/>
      <c r="N37" s="218"/>
      <c r="O37" s="75"/>
      <c r="P37" s="72"/>
      <c r="Q37" s="74"/>
      <c r="R37" s="74"/>
      <c r="S37" s="73"/>
      <c r="T37" s="72"/>
      <c r="U37" s="71"/>
      <c r="V37" s="71"/>
      <c r="W37" s="70"/>
      <c r="X37" s="72"/>
      <c r="Y37" s="140"/>
      <c r="Z37" s="140"/>
      <c r="AA37" s="141"/>
    </row>
    <row r="38" spans="2:27" ht="6.75" customHeight="1" x14ac:dyDescent="0.2">
      <c r="B38" s="60">
        <v>29</v>
      </c>
      <c r="Y38" s="63"/>
      <c r="Z38" s="63"/>
      <c r="AA38" s="63"/>
    </row>
    <row r="39" spans="2:27" ht="14.1" customHeight="1" x14ac:dyDescent="0.2">
      <c r="C39" s="263" t="s">
        <v>73</v>
      </c>
      <c r="D39" s="264"/>
      <c r="E39" s="264"/>
      <c r="F39" s="264"/>
      <c r="G39" s="86"/>
      <c r="H39" s="266" t="s">
        <v>72</v>
      </c>
      <c r="I39" s="266"/>
      <c r="J39" s="266"/>
      <c r="K39" s="266"/>
      <c r="L39" s="266"/>
      <c r="M39" s="266"/>
      <c r="N39" s="266"/>
      <c r="O39" s="266"/>
      <c r="P39" s="266"/>
      <c r="Q39" s="266"/>
      <c r="R39" s="266"/>
      <c r="S39" s="266"/>
      <c r="T39" s="266"/>
      <c r="U39" s="266"/>
      <c r="V39" s="266"/>
      <c r="W39" s="266"/>
      <c r="X39" s="266"/>
      <c r="Y39" s="63"/>
      <c r="Z39" s="63"/>
      <c r="AA39" s="63"/>
    </row>
    <row r="40" spans="2:27" ht="17.45" customHeight="1" thickBot="1" x14ac:dyDescent="0.25">
      <c r="C40" s="265"/>
      <c r="D40" s="266"/>
      <c r="E40" s="266"/>
      <c r="F40" s="266"/>
      <c r="G40" s="77"/>
      <c r="H40" s="266"/>
      <c r="I40" s="266"/>
      <c r="J40" s="266"/>
      <c r="K40" s="266"/>
      <c r="L40" s="266"/>
      <c r="M40" s="266"/>
      <c r="N40" s="266"/>
      <c r="O40" s="266"/>
      <c r="P40" s="266"/>
      <c r="Q40" s="266"/>
      <c r="R40" s="266"/>
      <c r="S40" s="266"/>
      <c r="T40" s="266"/>
      <c r="U40" s="266"/>
      <c r="V40" s="266"/>
      <c r="W40" s="266"/>
      <c r="X40" s="266"/>
      <c r="Y40" s="63"/>
      <c r="Z40" s="63"/>
      <c r="AA40" s="63"/>
    </row>
    <row r="41" spans="2:27" ht="17.45" customHeight="1" x14ac:dyDescent="0.2">
      <c r="C41" s="267" t="s">
        <v>71</v>
      </c>
      <c r="D41" s="268"/>
      <c r="E41" s="269"/>
      <c r="F41" s="286">
        <f ca="1">OFFSET('Work sheet 1'!G8,'Work sheet 1'!E3,0)</f>
        <v>0.87525423728813556</v>
      </c>
      <c r="G41" s="77"/>
      <c r="H41" s="274" t="str">
        <f>'Work sheet 1'!G1</f>
        <v>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v>
      </c>
      <c r="I41" s="275"/>
      <c r="J41" s="275"/>
      <c r="K41" s="275"/>
      <c r="L41" s="275"/>
      <c r="M41" s="275"/>
      <c r="N41" s="275"/>
      <c r="O41" s="275"/>
      <c r="P41" s="275"/>
      <c r="Q41" s="275"/>
      <c r="R41" s="275"/>
      <c r="S41" s="275"/>
      <c r="T41" s="275"/>
      <c r="U41" s="275"/>
      <c r="V41" s="275"/>
      <c r="W41" s="275"/>
      <c r="X41" s="275"/>
      <c r="Y41" s="63"/>
      <c r="Z41" s="63"/>
      <c r="AA41" s="63"/>
    </row>
    <row r="42" spans="2:27" ht="17.45" customHeight="1" thickBot="1" x14ac:dyDescent="0.25">
      <c r="C42" s="270"/>
      <c r="D42" s="271"/>
      <c r="E42" s="272"/>
      <c r="F42" s="287"/>
      <c r="G42" s="77"/>
      <c r="H42" s="274"/>
      <c r="I42" s="275"/>
      <c r="J42" s="275"/>
      <c r="K42" s="275"/>
      <c r="L42" s="275"/>
      <c r="M42" s="275"/>
      <c r="N42" s="275"/>
      <c r="O42" s="275"/>
      <c r="P42" s="275"/>
      <c r="Q42" s="275"/>
      <c r="R42" s="275"/>
      <c r="S42" s="275"/>
      <c r="T42" s="275"/>
      <c r="U42" s="275"/>
      <c r="V42" s="275"/>
      <c r="W42" s="275"/>
      <c r="X42" s="275"/>
      <c r="Y42" s="63"/>
      <c r="Z42" s="63"/>
      <c r="AA42" s="63"/>
    </row>
    <row r="43" spans="2:27" ht="17.45" customHeight="1" x14ac:dyDescent="0.2">
      <c r="C43" s="69"/>
      <c r="G43" s="77"/>
      <c r="H43" s="274"/>
      <c r="I43" s="275"/>
      <c r="J43" s="275"/>
      <c r="K43" s="275"/>
      <c r="L43" s="275"/>
      <c r="M43" s="275"/>
      <c r="N43" s="275"/>
      <c r="O43" s="275"/>
      <c r="P43" s="275"/>
      <c r="Q43" s="275"/>
      <c r="R43" s="275"/>
      <c r="S43" s="275"/>
      <c r="T43" s="275"/>
      <c r="U43" s="275"/>
      <c r="V43" s="275"/>
      <c r="W43" s="275"/>
      <c r="X43" s="275"/>
      <c r="Y43" s="63"/>
      <c r="Z43" s="63"/>
      <c r="AA43" s="63"/>
    </row>
    <row r="44" spans="2:27" ht="17.45" customHeight="1" x14ac:dyDescent="0.2">
      <c r="C44" s="261" t="s">
        <v>70</v>
      </c>
      <c r="D44" s="262"/>
      <c r="E44" s="162"/>
      <c r="F44" s="68" t="s">
        <v>55</v>
      </c>
      <c r="G44" s="77"/>
      <c r="H44" s="273" t="str">
        <f ca="1">IF(I44="","",IF(I44='Work sheet 1'!$Q$4,'Work sheet 1'!$R$5,IF(I44='Work sheet 1'!$T$4,'Work sheet 1'!$T$5,IF(I44='Work sheet 1'!$Z$4,'Work sheet 1'!$Z$5,IF(I44='Work sheet 1'!$AN$4,'Work sheet 1'!$AN$5,IF(I44='Work sheet 1'!$AQ$4,'Work sheet 1'!$AQ$5,IF(OR(I44='Work sheet 1'!$AH$5,I44='Work sheet 1'!$AF$5),'Work sheet 1'!$AI$6,IF(I44='Work sheet 1'!$AK$4,'Work sheet 1'!$AL$5,""))))))))</f>
        <v/>
      </c>
      <c r="I44" s="258" t="str">
        <f ca="1">IF(ISERROR('Work sheet 1'!G2),"",'Work sheet 1'!G2)</f>
        <v/>
      </c>
      <c r="J44" s="258"/>
      <c r="K44" s="258"/>
      <c r="L44" s="258"/>
      <c r="M44" s="258"/>
      <c r="N44" s="258"/>
      <c r="O44" s="258"/>
      <c r="P44" s="258"/>
      <c r="Q44" s="258"/>
      <c r="R44" s="258"/>
      <c r="S44" s="258"/>
      <c r="T44" s="258"/>
      <c r="U44" s="258"/>
      <c r="V44" s="258"/>
      <c r="W44" s="258"/>
      <c r="X44" s="258"/>
      <c r="Y44" s="63"/>
      <c r="Z44" s="63"/>
      <c r="AA44" s="63"/>
    </row>
    <row r="45" spans="2:27" ht="17.100000000000001" customHeight="1" x14ac:dyDescent="0.2">
      <c r="C45" s="261"/>
      <c r="D45" s="262"/>
      <c r="E45" s="162"/>
      <c r="F45" s="162"/>
      <c r="G45" s="77"/>
      <c r="H45" s="273"/>
      <c r="I45" s="258"/>
      <c r="J45" s="258"/>
      <c r="K45" s="258"/>
      <c r="L45" s="258"/>
      <c r="M45" s="258"/>
      <c r="N45" s="258"/>
      <c r="O45" s="258"/>
      <c r="P45" s="258"/>
      <c r="Q45" s="258"/>
      <c r="R45" s="258"/>
      <c r="S45" s="258"/>
      <c r="T45" s="258"/>
      <c r="U45" s="258"/>
      <c r="V45" s="258"/>
      <c r="W45" s="258"/>
      <c r="X45" s="258"/>
      <c r="Y45" s="63"/>
      <c r="Z45" s="63"/>
      <c r="AA45" s="63"/>
    </row>
    <row r="46" spans="2:27" ht="17.100000000000001" customHeight="1" x14ac:dyDescent="0.2">
      <c r="C46" s="261" t="s">
        <v>69</v>
      </c>
      <c r="D46" s="262"/>
      <c r="E46" s="63"/>
      <c r="F46" s="68" t="s">
        <v>68</v>
      </c>
      <c r="G46" s="77"/>
      <c r="H46" s="273" t="str">
        <f ca="1">IF(I46="","",IF(I46='Work sheet 1'!$Q$4,'Work sheet 1'!$R$5,IF(I46='Work sheet 1'!$T$4,'Work sheet 1'!$T$5,IF(I46='Work sheet 1'!$Z$4,'Work sheet 1'!$Z$5,IF(I46='Work sheet 1'!$AN$4,'Work sheet 1'!$AN$5,IF(I46='Work sheet 1'!$AQ$4,'Work sheet 1'!$AQ$5,IF(OR(I46='Work sheet 1'!$AH$5,,I46='Work sheet 1'!$AF$5),'Work sheet 1'!$AI$6,IF(I46='Work sheet 1'!$AK$4,'Work sheet 1'!$AL$5,""))))))))</f>
        <v/>
      </c>
      <c r="I46" s="258" t="str">
        <f ca="1">IF(ISERROR('Work sheet 1'!G3),"",'Work sheet 1'!G3)</f>
        <v/>
      </c>
      <c r="J46" s="258"/>
      <c r="K46" s="258"/>
      <c r="L46" s="258"/>
      <c r="M46" s="258"/>
      <c r="N46" s="258"/>
      <c r="O46" s="258"/>
      <c r="P46" s="258"/>
      <c r="Q46" s="258"/>
      <c r="R46" s="258"/>
      <c r="S46" s="258"/>
      <c r="T46" s="258"/>
      <c r="U46" s="258"/>
      <c r="V46" s="258"/>
      <c r="W46" s="258"/>
      <c r="X46" s="258"/>
      <c r="Y46" s="63"/>
      <c r="Z46" s="63"/>
      <c r="AA46" s="63"/>
    </row>
    <row r="47" spans="2:27" ht="15.6" customHeight="1" x14ac:dyDescent="0.2">
      <c r="C47" s="261"/>
      <c r="D47" s="262"/>
      <c r="E47" s="63"/>
      <c r="F47" s="63"/>
      <c r="G47" s="67"/>
      <c r="H47" s="273"/>
      <c r="I47" s="258"/>
      <c r="J47" s="258"/>
      <c r="K47" s="258"/>
      <c r="L47" s="258"/>
      <c r="M47" s="258"/>
      <c r="N47" s="258"/>
      <c r="O47" s="258"/>
      <c r="P47" s="258"/>
      <c r="Q47" s="258"/>
      <c r="R47" s="258"/>
      <c r="S47" s="258"/>
      <c r="T47" s="258"/>
      <c r="U47" s="258"/>
      <c r="V47" s="258"/>
      <c r="W47" s="258"/>
      <c r="X47" s="258"/>
      <c r="Y47" s="63"/>
      <c r="Z47" s="63"/>
      <c r="AA47" s="63"/>
    </row>
    <row r="48" spans="2:27" ht="15.6" customHeight="1" x14ac:dyDescent="0.2">
      <c r="C48" s="288" t="s">
        <v>67</v>
      </c>
      <c r="D48" s="289"/>
      <c r="E48" s="63"/>
      <c r="F48" s="63"/>
      <c r="G48" s="67"/>
      <c r="H48" s="273" t="str">
        <f ca="1">IF(I48="","",IF(I48='Work sheet 1'!$Q$4,'Work sheet 1'!$R$5,IF(I48='Work sheet 1'!$T$4,'Work sheet 1'!$T$5,IF(I48='Work sheet 1'!$Z$4,'Work sheet 1'!$Z$5,IF(I48='Work sheet 1'!$AN$4,'Work sheet 1'!$AN$5,IF(I48='Work sheet 1'!$AQ$4,'Work sheet 1'!$AQ$5,IF(OR(I48='Work sheet 1'!$AH$5,I48='Work sheet 1'!$AF$5),'Work sheet 1'!$AI$6,IF(I48='Work sheet 1'!$AK$4,'Work sheet 1'!$AL$5,""))))))))</f>
        <v/>
      </c>
      <c r="I48" s="258" t="str">
        <f ca="1">IF(ISERROR('Work sheet 1'!G4),"",'Work sheet 1'!G4)</f>
        <v/>
      </c>
      <c r="J48" s="258"/>
      <c r="K48" s="258"/>
      <c r="L48" s="258"/>
      <c r="M48" s="258"/>
      <c r="N48" s="258"/>
      <c r="O48" s="258"/>
      <c r="P48" s="258"/>
      <c r="Q48" s="258"/>
      <c r="R48" s="258"/>
      <c r="S48" s="258"/>
      <c r="T48" s="258"/>
      <c r="U48" s="258"/>
      <c r="V48" s="258"/>
      <c r="W48" s="258"/>
      <c r="X48" s="258"/>
      <c r="Y48" s="63"/>
      <c r="Z48" s="63"/>
      <c r="AA48" s="63"/>
    </row>
    <row r="49" spans="1:27" ht="15.6" customHeight="1" x14ac:dyDescent="0.2">
      <c r="C49" s="290"/>
      <c r="D49" s="291"/>
      <c r="E49" s="63"/>
      <c r="F49" s="63"/>
      <c r="G49" s="67"/>
      <c r="H49" s="273"/>
      <c r="I49" s="258"/>
      <c r="J49" s="258"/>
      <c r="K49" s="258"/>
      <c r="L49" s="258"/>
      <c r="M49" s="258"/>
      <c r="N49" s="258"/>
      <c r="O49" s="258"/>
      <c r="P49" s="258"/>
      <c r="Q49" s="258"/>
      <c r="R49" s="258"/>
      <c r="S49" s="258"/>
      <c r="T49" s="258"/>
      <c r="U49" s="258"/>
      <c r="V49" s="258"/>
      <c r="W49" s="258"/>
      <c r="X49" s="258"/>
      <c r="Y49" s="63"/>
      <c r="Z49" s="63"/>
      <c r="AA49" s="63"/>
    </row>
    <row r="50" spans="1:27" ht="15.6" customHeight="1" x14ac:dyDescent="0.2">
      <c r="C50" s="247" t="s">
        <v>66</v>
      </c>
      <c r="D50" s="248"/>
      <c r="E50" s="248"/>
      <c r="F50" s="248"/>
      <c r="G50" s="249"/>
      <c r="H50" s="273" t="str">
        <f ca="1">IF(I50="","",IF(I50='Work sheet 1'!$Q$4,'Work sheet 1'!$R$5,IF(I50='Work sheet 1'!$T$4,'Work sheet 1'!$T$5,IF(I50='Work sheet 1'!$Z$4,'Work sheet 1'!$Z$5,IF(I50='Work sheet 1'!$AN$4,'Work sheet 1'!$AN$5,IF(I50='Work sheet 1'!$AQ$4,'Work sheet 1'!$AQ$5,IF(OR(I50='Work sheet 1'!$AH$5,I50='Work sheet 1'!$AF$5),'Work sheet 1'!$AI$6,IF(I50='Work sheet 1'!$AK$4,'Work sheet 1'!$AL$5,""))))))))</f>
        <v/>
      </c>
      <c r="I50" s="258" t="str">
        <f ca="1">IF(ISERROR('Work sheet 1'!G5),"",'Work sheet 1'!G5)</f>
        <v/>
      </c>
      <c r="J50" s="258"/>
      <c r="K50" s="258"/>
      <c r="L50" s="258"/>
      <c r="M50" s="258"/>
      <c r="N50" s="258"/>
      <c r="O50" s="258"/>
      <c r="P50" s="258"/>
      <c r="Q50" s="258"/>
      <c r="R50" s="258"/>
      <c r="S50" s="258"/>
      <c r="T50" s="258"/>
      <c r="U50" s="258"/>
      <c r="V50" s="258"/>
      <c r="W50" s="258"/>
      <c r="X50" s="258"/>
      <c r="Y50" s="63"/>
      <c r="Z50" s="63"/>
      <c r="AA50" s="63"/>
    </row>
    <row r="51" spans="1:27" ht="15.6" customHeight="1" x14ac:dyDescent="0.2">
      <c r="C51" s="250"/>
      <c r="D51" s="251"/>
      <c r="E51" s="251"/>
      <c r="F51" s="251"/>
      <c r="G51" s="252"/>
      <c r="H51" s="273"/>
      <c r="I51" s="258"/>
      <c r="J51" s="258"/>
      <c r="K51" s="258"/>
      <c r="L51" s="258"/>
      <c r="M51" s="258"/>
      <c r="N51" s="258"/>
      <c r="O51" s="258"/>
      <c r="P51" s="258"/>
      <c r="Q51" s="258"/>
      <c r="R51" s="258"/>
      <c r="S51" s="258"/>
      <c r="T51" s="258"/>
      <c r="U51" s="258"/>
      <c r="V51" s="258"/>
      <c r="W51" s="258"/>
      <c r="X51" s="258"/>
      <c r="Y51" s="63"/>
      <c r="Z51" s="63"/>
      <c r="AA51" s="63"/>
    </row>
    <row r="52" spans="1:27" ht="33" customHeight="1" x14ac:dyDescent="0.2">
      <c r="C52" s="253"/>
      <c r="D52" s="254"/>
      <c r="E52" s="254"/>
      <c r="F52" s="254"/>
      <c r="G52" s="255"/>
      <c r="H52" s="161" t="str">
        <f ca="1">IF(I52="","",IF(I52='Work sheet 1'!$Q$4,'Work sheet 1'!$R$5,IF(I52='Work sheet 1'!$T$4,'Work sheet 1'!$T$5,IF(I52='Work sheet 1'!$Z$4,'Work sheet 1'!$Z$5,IF(I52='Work sheet 1'!$AN$4,'Work sheet 1'!$AN$5,IF(I52='Work sheet 1'!$AQ$4,'Work sheet 1'!$AQ$5,IF(OR(I52='Work sheet 1'!$AH$5,I52='Work sheet 1'!$AF$5),'Work sheet 1'!$AI$6,IF(I52='Work sheet 1'!$AK$4,'Work sheet 1'!$AL$5,""))))))))</f>
        <v/>
      </c>
      <c r="I52" s="258" t="str">
        <f ca="1">IF(ISERROR('Work sheet 1'!G6),"",'Work sheet 1'!G6)</f>
        <v/>
      </c>
      <c r="J52" s="258"/>
      <c r="K52" s="258"/>
      <c r="L52" s="258"/>
      <c r="M52" s="258"/>
      <c r="N52" s="258"/>
      <c r="O52" s="258"/>
      <c r="P52" s="258"/>
      <c r="Q52" s="258"/>
      <c r="R52" s="258"/>
      <c r="S52" s="258"/>
      <c r="T52" s="258"/>
      <c r="U52" s="258"/>
      <c r="V52" s="258"/>
      <c r="W52" s="258"/>
      <c r="X52" s="258"/>
      <c r="Y52" s="63"/>
      <c r="Z52" s="63"/>
      <c r="AA52" s="63"/>
    </row>
    <row r="53" spans="1:27" ht="9.6" customHeight="1" x14ac:dyDescent="0.2">
      <c r="A53" s="66"/>
      <c r="B53" s="66"/>
      <c r="C53" s="66"/>
      <c r="D53" s="66"/>
      <c r="E53" s="66"/>
      <c r="F53" s="66"/>
      <c r="G53" s="66"/>
      <c r="H53" s="66"/>
      <c r="I53" s="66"/>
      <c r="J53" s="66"/>
      <c r="K53" s="66"/>
      <c r="L53" s="66"/>
      <c r="M53" s="66"/>
      <c r="N53" s="66"/>
      <c r="O53" s="66"/>
      <c r="P53" s="66"/>
      <c r="Q53" s="66"/>
      <c r="R53" s="66"/>
      <c r="S53" s="66"/>
      <c r="T53" s="66"/>
      <c r="U53" s="66"/>
      <c r="V53" s="66"/>
      <c r="W53" s="66"/>
      <c r="X53" s="66"/>
      <c r="Y53" s="63"/>
      <c r="Z53" s="63"/>
      <c r="AA53" s="63"/>
    </row>
    <row r="54" spans="1:27" ht="30.6" customHeight="1" x14ac:dyDescent="0.2">
      <c r="G54" s="65"/>
      <c r="M54" s="65"/>
      <c r="N54" s="65"/>
      <c r="O54" s="65"/>
      <c r="P54" s="65"/>
      <c r="Q54" s="65"/>
      <c r="R54" s="65"/>
      <c r="S54" s="65"/>
      <c r="T54" s="65"/>
      <c r="U54" s="65"/>
      <c r="V54" s="65"/>
      <c r="W54" s="65"/>
      <c r="X54" s="65"/>
      <c r="Y54" s="63"/>
      <c r="Z54" s="63"/>
      <c r="AA54" s="63"/>
    </row>
    <row r="55" spans="1:27" ht="15.75" x14ac:dyDescent="0.2">
      <c r="Y55" s="63"/>
      <c r="AA55" s="64"/>
    </row>
    <row r="56" spans="1:27" ht="15.75" x14ac:dyDescent="0.2">
      <c r="Y56" s="63"/>
    </row>
    <row r="57" spans="1:27" ht="15.75" x14ac:dyDescent="0.2">
      <c r="Y57" s="63"/>
      <c r="Z57" s="62"/>
    </row>
  </sheetData>
  <sheetProtection selectLockedCells="1"/>
  <dataConsolidate/>
  <mergeCells count="31">
    <mergeCell ref="H44:H45"/>
    <mergeCell ref="C44:D45"/>
    <mergeCell ref="X3:X5"/>
    <mergeCell ref="L3:M3"/>
    <mergeCell ref="H48:H49"/>
    <mergeCell ref="I48:X49"/>
    <mergeCell ref="Q30:Q32"/>
    <mergeCell ref="F5:J5"/>
    <mergeCell ref="F8:H8"/>
    <mergeCell ref="S7:U7"/>
    <mergeCell ref="U30:W31"/>
    <mergeCell ref="I46:X47"/>
    <mergeCell ref="F41:F42"/>
    <mergeCell ref="C48:D49"/>
    <mergeCell ref="H46:H47"/>
    <mergeCell ref="Y30:AA31"/>
    <mergeCell ref="C50:G52"/>
    <mergeCell ref="O5:Q5"/>
    <mergeCell ref="C2:I3"/>
    <mergeCell ref="I52:X52"/>
    <mergeCell ref="F6:H6"/>
    <mergeCell ref="F7:H7"/>
    <mergeCell ref="L5:M5"/>
    <mergeCell ref="C46:D47"/>
    <mergeCell ref="C39:F40"/>
    <mergeCell ref="H39:X40"/>
    <mergeCell ref="C41:E42"/>
    <mergeCell ref="H50:H51"/>
    <mergeCell ref="I50:X51"/>
    <mergeCell ref="H41:X43"/>
    <mergeCell ref="I44:X45"/>
  </mergeCells>
  <phoneticPr fontId="22" type="noConversion"/>
  <conditionalFormatting sqref="M17 K10:K37">
    <cfRule type="notContainsBlanks" dxfId="53" priority="128">
      <formula>LEN(TRIM(K10))&gt;0</formula>
    </cfRule>
  </conditionalFormatting>
  <conditionalFormatting sqref="M18:M23">
    <cfRule type="notContainsBlanks" dxfId="52" priority="127">
      <formula>LEN(TRIM(M18))&gt;0</formula>
    </cfRule>
  </conditionalFormatting>
  <conditionalFormatting sqref="M32:M37">
    <cfRule type="notContainsBlanks" dxfId="51" priority="124">
      <formula>LEN(TRIM(M32))&gt;0</formula>
    </cfRule>
  </conditionalFormatting>
  <conditionalFormatting sqref="M10">
    <cfRule type="notContainsBlanks" dxfId="50" priority="130">
      <formula>LEN(TRIM(M10))&gt;0</formula>
    </cfRule>
  </conditionalFormatting>
  <conditionalFormatting sqref="M11:M16">
    <cfRule type="notContainsBlanks" dxfId="49" priority="129">
      <formula>LEN(TRIM(M11))&gt;0</formula>
    </cfRule>
  </conditionalFormatting>
  <conditionalFormatting sqref="J10">
    <cfRule type="notContainsBlanks" dxfId="48" priority="134">
      <formula>LEN(TRIM(J10))&gt;0</formula>
    </cfRule>
  </conditionalFormatting>
  <conditionalFormatting sqref="J11:J16">
    <cfRule type="notContainsBlanks" dxfId="47" priority="133">
      <formula>LEN(TRIM(J11))&gt;0</formula>
    </cfRule>
  </conditionalFormatting>
  <conditionalFormatting sqref="J17">
    <cfRule type="notContainsBlanks" dxfId="46" priority="132">
      <formula>LEN(TRIM(J17))&gt;0</formula>
    </cfRule>
  </conditionalFormatting>
  <conditionalFormatting sqref="J18:J23">
    <cfRule type="notContainsBlanks" dxfId="45" priority="131">
      <formula>LEN(TRIM(J18))&gt;0</formula>
    </cfRule>
  </conditionalFormatting>
  <conditionalFormatting sqref="M29:M30">
    <cfRule type="notContainsBlanks" dxfId="44" priority="126">
      <formula>LEN(TRIM(M29))&gt;0</formula>
    </cfRule>
  </conditionalFormatting>
  <conditionalFormatting sqref="M31">
    <cfRule type="notContainsBlanks" dxfId="43" priority="125">
      <formula>LEN(TRIM(M31))&gt;0</formula>
    </cfRule>
  </conditionalFormatting>
  <conditionalFormatting sqref="M24">
    <cfRule type="notContainsBlanks" dxfId="42" priority="123">
      <formula>LEN(TRIM(M24))&gt;0</formula>
    </cfRule>
  </conditionalFormatting>
  <conditionalFormatting sqref="M25:M28">
    <cfRule type="notContainsBlanks" dxfId="41" priority="122">
      <formula>LEN(TRIM(M25))&gt;0</formula>
    </cfRule>
  </conditionalFormatting>
  <conditionalFormatting sqref="J31">
    <cfRule type="notContainsBlanks" dxfId="40" priority="121">
      <formula>LEN(TRIM(J31))&gt;0</formula>
    </cfRule>
  </conditionalFormatting>
  <conditionalFormatting sqref="J32:J37">
    <cfRule type="notContainsBlanks" dxfId="39" priority="120">
      <formula>LEN(TRIM(J32))&gt;0</formula>
    </cfRule>
  </conditionalFormatting>
  <conditionalFormatting sqref="J25:J30">
    <cfRule type="notContainsBlanks" dxfId="38" priority="118">
      <formula>LEN(TRIM(J25))&gt;0</formula>
    </cfRule>
  </conditionalFormatting>
  <conditionalFormatting sqref="J24">
    <cfRule type="notContainsBlanks" dxfId="37" priority="119">
      <formula>LEN(TRIM(J24))&gt;0</formula>
    </cfRule>
  </conditionalFormatting>
  <conditionalFormatting sqref="G24">
    <cfRule type="notContainsBlanks" dxfId="36" priority="39">
      <formula>LEN(TRIM(G24))&gt;0</formula>
    </cfRule>
  </conditionalFormatting>
  <conditionalFormatting sqref="G14:G16">
    <cfRule type="notContainsBlanks" dxfId="35" priority="45">
      <formula>LEN(TRIM(G14))&gt;0</formula>
    </cfRule>
  </conditionalFormatting>
  <conditionalFormatting sqref="N11:N16">
    <cfRule type="notContainsBlanks" dxfId="34" priority="116">
      <formula>LEN(TRIM(N11))&gt;0</formula>
    </cfRule>
  </conditionalFormatting>
  <conditionalFormatting sqref="N17">
    <cfRule type="notContainsBlanks" dxfId="33" priority="115">
      <formula>LEN(TRIM(N17))&gt;0</formula>
    </cfRule>
  </conditionalFormatting>
  <conditionalFormatting sqref="N18:N23">
    <cfRule type="notContainsBlanks" dxfId="32" priority="114">
      <formula>LEN(TRIM(N18))&gt;0</formula>
    </cfRule>
  </conditionalFormatting>
  <conditionalFormatting sqref="N29:N30">
    <cfRule type="notContainsBlanks" dxfId="31" priority="113">
      <formula>LEN(TRIM(N29))&gt;0</formula>
    </cfRule>
  </conditionalFormatting>
  <conditionalFormatting sqref="N31">
    <cfRule type="notContainsBlanks" dxfId="30" priority="112">
      <formula>LEN(TRIM(N31))&gt;0</formula>
    </cfRule>
  </conditionalFormatting>
  <conditionalFormatting sqref="N32:N37">
    <cfRule type="notContainsBlanks" dxfId="29" priority="111">
      <formula>LEN(TRIM(N32))&gt;0</formula>
    </cfRule>
  </conditionalFormatting>
  <conditionalFormatting sqref="N25:N28">
    <cfRule type="notContainsBlanks" dxfId="28" priority="109">
      <formula>LEN(TRIM(N25))&gt;0</formula>
    </cfRule>
  </conditionalFormatting>
  <conditionalFormatting sqref="N24">
    <cfRule type="notContainsBlanks" dxfId="27" priority="110">
      <formula>LEN(TRIM(N24))&gt;0</formula>
    </cfRule>
  </conditionalFormatting>
  <conditionalFormatting sqref="N10">
    <cfRule type="notContainsBlanks" dxfId="26" priority="117">
      <formula>LEN(TRIM(N10))&gt;0</formula>
    </cfRule>
  </conditionalFormatting>
  <conditionalFormatting sqref="G18:G23">
    <cfRule type="notContainsBlanks" dxfId="25" priority="43">
      <formula>LEN(TRIM(G18))&gt;0</formula>
    </cfRule>
  </conditionalFormatting>
  <conditionalFormatting sqref="G29:G30">
    <cfRule type="notContainsBlanks" dxfId="24" priority="42">
      <formula>LEN(TRIM(G29))&gt;0</formula>
    </cfRule>
  </conditionalFormatting>
  <conditionalFormatting sqref="G17">
    <cfRule type="notContainsBlanks" dxfId="23" priority="44">
      <formula>LEN(TRIM(G17))&gt;0</formula>
    </cfRule>
  </conditionalFormatting>
  <conditionalFormatting sqref="G31">
    <cfRule type="notContainsBlanks" dxfId="22" priority="41">
      <formula>LEN(TRIM(G31))&gt;0</formula>
    </cfRule>
  </conditionalFormatting>
  <conditionalFormatting sqref="G32:G37">
    <cfRule type="notContainsBlanks" dxfId="21" priority="40">
      <formula>LEN(TRIM(G32))&gt;0</formula>
    </cfRule>
  </conditionalFormatting>
  <conditionalFormatting sqref="X3:X5">
    <cfRule type="expression" dxfId="20" priority="135" stopIfTrue="1">
      <formula>$R$7&lt;&gt; "Days"</formula>
    </cfRule>
  </conditionalFormatting>
  <conditionalFormatting sqref="V7">
    <cfRule type="expression" dxfId="19" priority="136">
      <formula>$S$7=$AF$5</formula>
    </cfRule>
  </conditionalFormatting>
  <conditionalFormatting sqref="H17">
    <cfRule type="notContainsBlanks" dxfId="18" priority="35">
      <formula>LEN(TRIM(H17))&gt;0</formula>
    </cfRule>
  </conditionalFormatting>
  <conditionalFormatting sqref="H18:H23">
    <cfRule type="notContainsBlanks" dxfId="17" priority="34">
      <formula>LEN(TRIM(H18))&gt;0</formula>
    </cfRule>
  </conditionalFormatting>
  <conditionalFormatting sqref="H29:H30">
    <cfRule type="notContainsBlanks" dxfId="16" priority="33">
      <formula>LEN(TRIM(H29))&gt;0</formula>
    </cfRule>
  </conditionalFormatting>
  <conditionalFormatting sqref="H31">
    <cfRule type="notContainsBlanks" dxfId="15" priority="32">
      <formula>LEN(TRIM(H31))&gt;0</formula>
    </cfRule>
  </conditionalFormatting>
  <conditionalFormatting sqref="H14:H16">
    <cfRule type="notContainsBlanks" dxfId="14" priority="36">
      <formula>LEN(TRIM(H14))&gt;0</formula>
    </cfRule>
  </conditionalFormatting>
  <conditionalFormatting sqref="H24">
    <cfRule type="notContainsBlanks" dxfId="13" priority="30">
      <formula>LEN(TRIM(H24))&gt;0</formula>
    </cfRule>
  </conditionalFormatting>
  <conditionalFormatting sqref="H25:H28">
    <cfRule type="notContainsBlanks" dxfId="12" priority="29">
      <formula>LEN(TRIM(H25))&gt;0</formula>
    </cfRule>
  </conditionalFormatting>
  <conditionalFormatting sqref="H32:H37">
    <cfRule type="notContainsBlanks" dxfId="11" priority="31">
      <formula>LEN(TRIM(H32))&gt;0</formula>
    </cfRule>
  </conditionalFormatting>
  <conditionalFormatting sqref="G25:G28">
    <cfRule type="notContainsBlanks" dxfId="10" priority="38">
      <formula>LEN(TRIM(G25))&gt;0</formula>
    </cfRule>
  </conditionalFormatting>
  <conditionalFormatting sqref="D10:D37">
    <cfRule type="expression" dxfId="9" priority="7">
      <formula>$AD$19="decimal"</formula>
    </cfRule>
    <cfRule type="expression" dxfId="8" priority="8">
      <formula>$AD$19="percentage"</formula>
    </cfRule>
    <cfRule type="expression" dxfId="7" priority="9">
      <formula>"$AD$21=""integer"""</formula>
    </cfRule>
  </conditionalFormatting>
  <conditionalFormatting sqref="D10:D37">
    <cfRule type="expression" dxfId="6" priority="10">
      <formula>$AD$19="Time"</formula>
    </cfRule>
  </conditionalFormatting>
  <conditionalFormatting sqref="G11:G13">
    <cfRule type="expression" dxfId="5" priority="3">
      <formula>$AD$19="decimal"</formula>
    </cfRule>
    <cfRule type="expression" dxfId="4" priority="4">
      <formula>$AD$19="percentage"</formula>
    </cfRule>
    <cfRule type="expression" dxfId="3" priority="5">
      <formula>"$AD$21=""integer"""</formula>
    </cfRule>
  </conditionalFormatting>
  <conditionalFormatting sqref="G11:G13">
    <cfRule type="expression" dxfId="2" priority="6">
      <formula>$AD$19="Time"</formula>
    </cfRule>
  </conditionalFormatting>
  <conditionalFormatting sqref="H10">
    <cfRule type="notContainsBlanks" dxfId="1" priority="1">
      <formula>LEN(TRIM(H10))&gt;0</formula>
    </cfRule>
  </conditionalFormatting>
  <conditionalFormatting sqref="G10">
    <cfRule type="notContainsBlanks" dxfId="0" priority="2">
      <formula>LEN(TRIM(G10))&gt;0</formula>
    </cfRule>
  </conditionalFormatting>
  <dataValidations count="14">
    <dataValidation type="decimal" operator="lessThanOrEqual" allowBlank="1" showInputMessage="1" showErrorMessage="1" error="Please enter a value less than_x000a_the number of beds on the ward" sqref="H10:H31 G14:G31" xr:uid="{00000000-0002-0000-0200-000000000000}">
      <formula1>$Q$5</formula1>
    </dataValidation>
    <dataValidation type="decimal" operator="lessThanOrEqual" allowBlank="1" showInputMessage="1" showErrorMessage="1" error="Please enter a value less than_x000a_the maximum number you entered" sqref="G32:H37 M10:N37 J9:J37 K10:K37" xr:uid="{00000000-0002-0000-0200-000001000000}">
      <formula1>$Q$5</formula1>
    </dataValidation>
    <dataValidation operator="lessThanOrEqual" allowBlank="1" showInputMessage="1" showErrorMessage="1" error="Please enter a value less than_x000a_the number of beds on the ward" sqref="E10:E37" xr:uid="{00000000-0002-0000-0200-000002000000}"/>
    <dataValidation type="list" allowBlank="1" showInputMessage="1" showErrorMessage="1" sqref="F46" xr:uid="{00000000-0002-0000-0200-000003000000}">
      <formula1>Rotate</formula1>
    </dataValidation>
    <dataValidation type="list" allowBlank="1" showInputMessage="1" showErrorMessage="1" sqref="F44 V3" xr:uid="{00000000-0002-0000-0200-000004000000}">
      <formula1>YEs_no</formula1>
    </dataValidation>
    <dataValidation type="list" allowBlank="1" showInputMessage="1" showErrorMessage="1" sqref="F8:H8" xr:uid="{00000000-0002-0000-0200-000005000000}">
      <formula1>Improvement</formula1>
    </dataValidation>
    <dataValidation type="date" operator="greaterThan" allowBlank="1" showInputMessage="1" showErrorMessage="1" sqref="Q6" xr:uid="{00000000-0002-0000-0200-000006000000}">
      <formula1>17899</formula1>
    </dataValidation>
    <dataValidation type="list" allowBlank="1" showInputMessage="1" showErrorMessage="1" sqref="R36 S36:S37" xr:uid="{00000000-0002-0000-0200-000007000000}">
      <formula1>Date_format</formula1>
    </dataValidation>
    <dataValidation type="list" allowBlank="1" showInputMessage="1" showErrorMessage="1" sqref="R35:S35" xr:uid="{00000000-0002-0000-0200-000008000000}">
      <formula1>Number_type</formula1>
    </dataValidation>
    <dataValidation type="list" allowBlank="1" showInputMessage="1" showErrorMessage="1" error="PLease enter a value up to 16 weeks" sqref="V7" xr:uid="{00000000-0002-0000-0200-000009000000}">
      <formula1>YEs_no</formula1>
    </dataValidation>
    <dataValidation type="list" allowBlank="1" showInputMessage="1" showErrorMessage="1" sqref="R7" xr:uid="{00000000-0002-0000-0200-00000A000000}">
      <formula1>period</formula1>
    </dataValidation>
    <dataValidation type="whole" allowBlank="1" showInputMessage="1" showErrorMessage="1" error="PLease enter a value up to 112 days or weeks" sqref="Q7" xr:uid="{00000000-0002-0000-0200-00000B000000}">
      <formula1>0</formula1>
      <formula2>112</formula2>
    </dataValidation>
    <dataValidation type="decimal" operator="lessThanOrEqual" allowBlank="1" showInputMessage="1" showErrorMessage="1" error="Please enter a value equal to or less than_x000a_the maximum number " sqref="D10:D37" xr:uid="{EF8607D8-C9BD-441A-80B9-CBC2BC99B291}">
      <formula1>$O$5</formula1>
    </dataValidation>
    <dataValidation type="decimal" operator="lessThanOrEqual" allowBlank="1" showInputMessage="1" showErrorMessage="1" error="Please enter a value less than_x000a_the maximum number you entered" sqref="G10:G13" xr:uid="{6FA79BAF-ED8F-4454-8B1B-2935C811DF75}">
      <formula1>$O$5</formula1>
    </dataValidation>
  </dataValidations>
  <pageMargins left="0.23622047244094502" right="0.23622047244094502" top="0.23622047244094502" bottom="0.23622047244094502" header="0.31496062992126" footer="0.31496062992126"/>
  <pageSetup paperSize="9" scale="58" fitToWidth="0"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20</xdr:col>
                    <xdr:colOff>47625</xdr:colOff>
                    <xdr:row>31</xdr:row>
                    <xdr:rowOff>9525</xdr:rowOff>
                  </from>
                  <to>
                    <xdr:col>20</xdr:col>
                    <xdr:colOff>1485900</xdr:colOff>
                    <xdr:row>31</xdr:row>
                    <xdr:rowOff>190500</xdr:rowOff>
                  </to>
                </anchor>
              </controlPr>
            </control>
          </mc:Choice>
        </mc:AlternateContent>
        <mc:AlternateContent xmlns:mc="http://schemas.openxmlformats.org/markup-compatibility/2006">
          <mc:Choice Requires="x14">
            <control shapeId="1028" r:id="rId5" name="Drop Down 4">
              <controlPr defaultSize="0" autoLine="0" autoPict="0">
                <anchor moveWithCells="1">
                  <from>
                    <xdr:col>20</xdr:col>
                    <xdr:colOff>47625</xdr:colOff>
                    <xdr:row>32</xdr:row>
                    <xdr:rowOff>9525</xdr:rowOff>
                  </from>
                  <to>
                    <xdr:col>20</xdr:col>
                    <xdr:colOff>1485900</xdr:colOff>
                    <xdr:row>32</xdr:row>
                    <xdr:rowOff>190500</xdr:rowOff>
                  </to>
                </anchor>
              </controlPr>
            </control>
          </mc:Choice>
        </mc:AlternateContent>
        <mc:AlternateContent xmlns:mc="http://schemas.openxmlformats.org/markup-compatibility/2006">
          <mc:Choice Requires="x14">
            <control shapeId="1029" r:id="rId6" name="Drop Down 5">
              <controlPr defaultSize="0" autoLine="0" autoPict="0">
                <anchor moveWithCells="1">
                  <from>
                    <xdr:col>20</xdr:col>
                    <xdr:colOff>47625</xdr:colOff>
                    <xdr:row>33</xdr:row>
                    <xdr:rowOff>9525</xdr:rowOff>
                  </from>
                  <to>
                    <xdr:col>20</xdr:col>
                    <xdr:colOff>1485900</xdr:colOff>
                    <xdr:row>33</xdr:row>
                    <xdr:rowOff>200025</xdr:rowOff>
                  </to>
                </anchor>
              </controlPr>
            </control>
          </mc:Choice>
        </mc:AlternateContent>
        <mc:AlternateContent xmlns:mc="http://schemas.openxmlformats.org/markup-compatibility/2006">
          <mc:Choice Requires="x14">
            <control shapeId="1030" r:id="rId7" name="Drop Down 6">
              <controlPr defaultSize="0" autoLine="0" autoPict="0">
                <anchor moveWithCells="1">
                  <from>
                    <xdr:col>20</xdr:col>
                    <xdr:colOff>47625</xdr:colOff>
                    <xdr:row>34</xdr:row>
                    <xdr:rowOff>28575</xdr:rowOff>
                  </from>
                  <to>
                    <xdr:col>20</xdr:col>
                    <xdr:colOff>1485900</xdr:colOff>
                    <xdr:row>35</xdr:row>
                    <xdr:rowOff>0</xdr:rowOff>
                  </to>
                </anchor>
              </controlPr>
            </control>
          </mc:Choice>
        </mc:AlternateContent>
        <mc:AlternateContent xmlns:mc="http://schemas.openxmlformats.org/markup-compatibility/2006">
          <mc:Choice Requires="x14">
            <control shapeId="1031" r:id="rId8" name="Drop Down 7">
              <controlPr defaultSize="0" autoLine="0" autoPict="0">
                <anchor moveWithCells="1">
                  <from>
                    <xdr:col>20</xdr:col>
                    <xdr:colOff>47625</xdr:colOff>
                    <xdr:row>35</xdr:row>
                    <xdr:rowOff>28575</xdr:rowOff>
                  </from>
                  <to>
                    <xdr:col>20</xdr:col>
                    <xdr:colOff>1485900</xdr:colOff>
                    <xdr:row>36</xdr:row>
                    <xdr:rowOff>9525</xdr:rowOff>
                  </to>
                </anchor>
              </controlPr>
            </control>
          </mc:Choice>
        </mc:AlternateContent>
        <mc:AlternateContent xmlns:mc="http://schemas.openxmlformats.org/markup-compatibility/2006">
          <mc:Choice Requires="x14">
            <control shapeId="1033" r:id="rId9" name="Drop Down 9">
              <controlPr defaultSize="0" autoLine="0" autoPict="0">
                <anchor moveWithCells="1">
                  <from>
                    <xdr:col>24</xdr:col>
                    <xdr:colOff>0</xdr:colOff>
                    <xdr:row>31</xdr:row>
                    <xdr:rowOff>9525</xdr:rowOff>
                  </from>
                  <to>
                    <xdr:col>24</xdr:col>
                    <xdr:colOff>1438275</xdr:colOff>
                    <xdr:row>31</xdr:row>
                    <xdr:rowOff>190500</xdr:rowOff>
                  </to>
                </anchor>
              </controlPr>
            </control>
          </mc:Choice>
        </mc:AlternateContent>
        <mc:AlternateContent xmlns:mc="http://schemas.openxmlformats.org/markup-compatibility/2006">
          <mc:Choice Requires="x14">
            <control shapeId="1042" r:id="rId10" name="Drop Down 18">
              <controlPr defaultSize="0" autoLine="0" autoPict="0">
                <anchor moveWithCells="1">
                  <from>
                    <xdr:col>24</xdr:col>
                    <xdr:colOff>0</xdr:colOff>
                    <xdr:row>32</xdr:row>
                    <xdr:rowOff>9525</xdr:rowOff>
                  </from>
                  <to>
                    <xdr:col>24</xdr:col>
                    <xdr:colOff>1438275</xdr:colOff>
                    <xdr:row>32</xdr:row>
                    <xdr:rowOff>190500</xdr:rowOff>
                  </to>
                </anchor>
              </controlPr>
            </control>
          </mc:Choice>
        </mc:AlternateContent>
        <mc:AlternateContent xmlns:mc="http://schemas.openxmlformats.org/markup-compatibility/2006">
          <mc:Choice Requires="x14">
            <control shapeId="1043" r:id="rId11" name="Drop Down 19">
              <controlPr defaultSize="0" autoLine="0" autoPict="0">
                <anchor moveWithCells="1">
                  <from>
                    <xdr:col>24</xdr:col>
                    <xdr:colOff>0</xdr:colOff>
                    <xdr:row>33</xdr:row>
                    <xdr:rowOff>9525</xdr:rowOff>
                  </from>
                  <to>
                    <xdr:col>24</xdr:col>
                    <xdr:colOff>1438275</xdr:colOff>
                    <xdr:row>33</xdr:row>
                    <xdr:rowOff>200025</xdr:rowOff>
                  </to>
                </anchor>
              </controlPr>
            </control>
          </mc:Choice>
        </mc:AlternateContent>
        <mc:AlternateContent xmlns:mc="http://schemas.openxmlformats.org/markup-compatibility/2006">
          <mc:Choice Requires="x14">
            <control shapeId="1048" r:id="rId12" name="Drop Down 24">
              <controlPr defaultSize="0" autoLine="0" autoPict="0">
                <anchor moveWithCells="1">
                  <from>
                    <xdr:col>24</xdr:col>
                    <xdr:colOff>0</xdr:colOff>
                    <xdr:row>34</xdr:row>
                    <xdr:rowOff>28575</xdr:rowOff>
                  </from>
                  <to>
                    <xdr:col>24</xdr:col>
                    <xdr:colOff>1438275</xdr:colOff>
                    <xdr:row>35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CM124"/>
  <sheetViews>
    <sheetView zoomScale="55" zoomScaleNormal="55" workbookViewId="0">
      <selection activeCell="J122" sqref="J122"/>
    </sheetView>
  </sheetViews>
  <sheetFormatPr defaultRowHeight="15" x14ac:dyDescent="0.25"/>
  <cols>
    <col min="1" max="1" width="1.5703125" customWidth="1"/>
    <col min="2" max="2" width="3.85546875" bestFit="1" customWidth="1"/>
    <col min="3" max="3" width="6.28515625" bestFit="1" customWidth="1"/>
    <col min="4" max="4" width="49.140625" bestFit="1" customWidth="1"/>
    <col min="5" max="5" width="16.42578125" bestFit="1" customWidth="1"/>
    <col min="6" max="6" width="12.140625" bestFit="1" customWidth="1"/>
    <col min="7" max="9" width="15.28515625" style="3" bestFit="1" customWidth="1"/>
    <col min="10" max="10" width="12" customWidth="1"/>
    <col min="11" max="11" width="10.5703125" bestFit="1" customWidth="1"/>
    <col min="12" max="12" width="11.5703125" customWidth="1"/>
    <col min="13" max="13" width="11.42578125" customWidth="1"/>
    <col min="14" max="14" width="10.85546875" customWidth="1"/>
    <col min="16" max="16" width="9.85546875" customWidth="1"/>
    <col min="17" max="17" width="16.140625" bestFit="1" customWidth="1"/>
    <col min="19" max="19" width="1.42578125" customWidth="1"/>
    <col min="22" max="22" width="1.140625" customWidth="1"/>
    <col min="25" max="25" width="1.5703125" customWidth="1"/>
    <col min="28" max="28" width="1.140625" customWidth="1"/>
    <col min="31" max="31" width="1.5703125" customWidth="1"/>
    <col min="36" max="36" width="1.140625" customWidth="1"/>
    <col min="37" max="37" width="16.5703125" customWidth="1"/>
    <col min="38" max="38" width="13.5703125" customWidth="1"/>
    <col min="39" max="39" width="1.140625" customWidth="1"/>
    <col min="40" max="40" width="13.5703125" customWidth="1"/>
    <col min="41" max="41" width="15.140625" customWidth="1"/>
    <col min="42" max="44" width="11.5703125" customWidth="1"/>
    <col min="45" max="46" width="15.85546875" customWidth="1"/>
    <col min="47" max="48" width="11" customWidth="1"/>
    <col min="49" max="49" width="10.5703125" customWidth="1"/>
    <col min="50" max="50" width="9.42578125" bestFit="1" customWidth="1"/>
    <col min="51" max="51" width="8.85546875" style="2"/>
    <col min="53" max="53" width="8.85546875" style="2"/>
    <col min="55" max="55" width="11.5703125" bestFit="1" customWidth="1"/>
    <col min="56" max="56" width="17.140625" style="2" customWidth="1"/>
    <col min="57" max="60" width="17.5703125" customWidth="1"/>
    <col min="61" max="61" width="17.5703125" style="1" customWidth="1"/>
    <col min="62" max="63" width="17.5703125" customWidth="1"/>
    <col min="64" max="65" width="16.140625" bestFit="1" customWidth="1"/>
  </cols>
  <sheetData>
    <row r="1" spans="2:91" ht="43.5" customHeight="1" x14ac:dyDescent="0.25">
      <c r="C1" t="str">
        <f>'Front sheet'!V3</f>
        <v>No</v>
      </c>
      <c r="D1" s="59" t="str">
        <f>IF(C1="Yes","P' Chart - ","P Chart - ")&amp;'Front sheet'!$F$5&amp;"-"&amp;'Front sheet'!F6&amp;" starting "&amp;TEXT('Front sheet'!Q6,"dd/mm/yy")&amp;IF(AND('Front sheet'!$R$7="days",'Front sheet'!$V$7="No")," excluding weekends","")</f>
        <v>P Chart - OM1: % of TaTs within TaT target-NGS starting 30/09/24</v>
      </c>
      <c r="E1" s="58" t="str">
        <f>'Front sheet'!$F$5&amp;"-"&amp;'Front sheet'!F6&amp;" Moving range, starting "&amp;TEXT('Front sheet'!Q6,"dd/mm/yy")</f>
        <v>OM1: % of TaTs within TaT target-NGS Moving range, starting 30/09/24</v>
      </c>
      <c r="G1" s="297" t="s">
        <v>65</v>
      </c>
      <c r="H1" s="305"/>
      <c r="I1" s="305"/>
      <c r="J1" s="305"/>
      <c r="K1" s="305"/>
      <c r="L1" s="305" t="str">
        <f ca="1">IF(ISERROR(VLOOKUP(100,$G$8:$K$120,9,0)),"",VLOOKUP(100,$G$8:$K$120,9,0))</f>
        <v/>
      </c>
      <c r="M1" s="305"/>
      <c r="N1" s="305"/>
      <c r="O1" s="298"/>
      <c r="Q1" s="18" t="s">
        <v>64</v>
      </c>
      <c r="R1" s="57"/>
      <c r="T1" s="18" t="s">
        <v>63</v>
      </c>
      <c r="U1" s="11"/>
      <c r="V1" s="57"/>
      <c r="W1" s="18" t="s">
        <v>62</v>
      </c>
      <c r="X1" s="11"/>
      <c r="Y1" s="57"/>
      <c r="Z1" s="18" t="s">
        <v>17</v>
      </c>
      <c r="AA1" s="11"/>
      <c r="AB1" s="57"/>
      <c r="AC1" s="18" t="s">
        <v>16</v>
      </c>
      <c r="AD1" s="11"/>
      <c r="AE1" s="57"/>
      <c r="AF1" s="18"/>
      <c r="AG1" s="18"/>
      <c r="AH1" s="18"/>
      <c r="AI1" s="18"/>
      <c r="AK1" s="18" t="s">
        <v>61</v>
      </c>
      <c r="AL1" s="57"/>
      <c r="AN1" s="18" t="s">
        <v>60</v>
      </c>
      <c r="AO1" s="57"/>
      <c r="AX1" s="2"/>
    </row>
    <row r="2" spans="2:91" ht="38.25" customHeight="1" x14ac:dyDescent="0.25">
      <c r="D2" s="56" t="str">
        <f>'Front sheet'!F7</f>
        <v>within 7-Working-Days target</v>
      </c>
      <c r="E2" s="55" t="str">
        <f>'Front sheet'!R7</f>
        <v>Weeks</v>
      </c>
      <c r="F2" t="s">
        <v>58</v>
      </c>
      <c r="G2" s="297" t="str">
        <f ca="1">IF(Q4&lt;&gt;"",Q4,IF(T4&lt;&gt;"",T4,IF(Z4&lt;&gt;"",Z4,IF(AN4&lt;&gt;"",AN4,IF(AF5&lt;&gt;"",AF5,IF(AH5&lt;&gt;0,AH5,IF(AK4&lt;&gt;"",AK4,"")))))))</f>
        <v/>
      </c>
      <c r="H2" s="305"/>
      <c r="I2" s="305"/>
      <c r="J2" s="305"/>
      <c r="K2" s="305"/>
      <c r="L2" s="305"/>
      <c r="M2" s="305"/>
      <c r="N2" s="305"/>
      <c r="O2" s="298"/>
      <c r="Q2" s="16" t="s">
        <v>57</v>
      </c>
      <c r="R2" s="52">
        <f ca="1">MAX(Q9:Q128)</f>
        <v>0</v>
      </c>
      <c r="T2" s="16">
        <f ca="1">IF(SUM(U9:U128)&gt;0,"Yes",0)</f>
        <v>0</v>
      </c>
      <c r="U2" s="4"/>
      <c r="V2" s="52"/>
      <c r="W2" s="16">
        <f ca="1">IF(SUM(X9:X128)&gt;0,"Yes",0)</f>
        <v>0</v>
      </c>
      <c r="X2" s="4"/>
      <c r="Y2" s="52"/>
      <c r="Z2" s="16">
        <f>IF(SUM(AA9:AA128)&gt;0,"Yes",0)</f>
        <v>0</v>
      </c>
      <c r="AA2" s="4"/>
      <c r="AB2" s="52"/>
      <c r="AC2" s="16">
        <f>IF(SUM(AD9:AD128)&gt;0,"Yes",0)</f>
        <v>0</v>
      </c>
      <c r="AD2" s="4"/>
      <c r="AE2" s="52"/>
      <c r="AF2" s="16"/>
      <c r="AG2" s="16"/>
      <c r="AH2" s="16"/>
      <c r="AI2" s="16"/>
      <c r="AK2" s="16" t="s">
        <v>57</v>
      </c>
      <c r="AL2" s="52">
        <f>IF(ISERROR(MAX(AK121:AK128)),"",MAX(AK121:AK128))</f>
        <v>0</v>
      </c>
      <c r="AN2" s="16" t="s">
        <v>56</v>
      </c>
      <c r="AO2" s="52">
        <f ca="1">IF(ISERROR(SUM(OFFSET($AO$9,0,0,$E$3,1))),"",SUM(OFFSET($AO$9,0,0,$E$3,1)))</f>
        <v>0</v>
      </c>
      <c r="AX2" s="2"/>
      <c r="BC2">
        <f ca="1">IFERROR(BG2/7,0)</f>
        <v>3.6564328116063902E-2</v>
      </c>
      <c r="BE2">
        <f ca="1">MAX(OFFSET(F9,0,0,E3,4))</f>
        <v>1.0032293856943593</v>
      </c>
      <c r="BF2">
        <f ca="1">MIN(OFFSET(H9,0,0,E3,3))</f>
        <v>0.74727908888191197</v>
      </c>
      <c r="BG2">
        <f ca="1">BE2-BF2</f>
        <v>0.2559502968124473</v>
      </c>
    </row>
    <row r="3" spans="2:91" ht="38.25" customHeight="1" x14ac:dyDescent="0.25">
      <c r="D3" s="56" t="s">
        <v>54</v>
      </c>
      <c r="E3" s="55">
        <f>MAX(B9:B120)</f>
        <v>20</v>
      </c>
      <c r="F3">
        <f>COUNTIF($AK$9:$AK$120,1)</f>
        <v>20</v>
      </c>
      <c r="G3" s="302" t="str">
        <f ca="1">IF(AND(T4&lt;&gt;"",T4&lt;&gt;G2),T4,IF(AND(Z4&lt;&gt;"",Z4&lt;&gt;G2),Z4,IF(AND(AN4&lt;&gt;"",AN4&lt;&gt;G2),AN4,IF(AND(AF5&lt;&gt;"",AF5&lt;&gt;G2),AF5,IF(AND(AH5&lt;&gt;"",AH5&lt;&gt;G2),AH5,IF(AND(AK4&lt;&gt;"",AK4&lt;&gt;G2),AK4,""))))))</f>
        <v/>
      </c>
      <c r="H3" s="304"/>
      <c r="I3" s="304"/>
      <c r="J3" s="304"/>
      <c r="K3" s="304"/>
      <c r="L3" s="304"/>
      <c r="M3" s="304"/>
      <c r="N3" s="304"/>
      <c r="O3" s="303"/>
      <c r="Q3" s="16" t="s">
        <v>53</v>
      </c>
      <c r="R3" s="52">
        <f ca="1">MAX(R9:R128)</f>
        <v>0</v>
      </c>
      <c r="T3" s="16"/>
      <c r="U3" s="4"/>
      <c r="V3" s="52"/>
      <c r="W3" s="16"/>
      <c r="X3" s="4"/>
      <c r="Y3" s="52"/>
      <c r="Z3" s="16"/>
      <c r="AA3" s="4"/>
      <c r="AB3" s="52"/>
      <c r="AC3" s="16"/>
      <c r="AD3" s="4"/>
      <c r="AE3" s="52"/>
      <c r="AF3" s="16"/>
      <c r="AG3" s="52">
        <f ca="1">MAX(AG9:AG128)</f>
        <v>0</v>
      </c>
      <c r="AH3" s="16"/>
      <c r="AI3" s="52">
        <f ca="1">MAX(AI9:AI128)</f>
        <v>0</v>
      </c>
      <c r="AK3" s="16"/>
      <c r="AL3" s="52"/>
      <c r="AN3" s="54" t="s">
        <v>52</v>
      </c>
      <c r="AO3" s="53">
        <f ca="1">AO2/E3</f>
        <v>0</v>
      </c>
      <c r="AX3" s="2"/>
      <c r="BC3">
        <f ca="1">SUM((BB9:BB120))</f>
        <v>279</v>
      </c>
    </row>
    <row r="4" spans="2:91" ht="38.25" customHeight="1" thickBot="1" x14ac:dyDescent="0.3">
      <c r="D4" s="4" t="s">
        <v>148</v>
      </c>
      <c r="E4" s="4">
        <f>IF(BJ6=0,0,BJ5)</f>
        <v>39</v>
      </c>
      <c r="F4">
        <f>COUNTIF($AK$9:$AK$120,2)</f>
        <v>0</v>
      </c>
      <c r="G4" s="299" t="str">
        <f ca="1">IF(AND(Z4&lt;&gt;"",Z4&lt;&gt;G2,Z4&lt;&gt;G3),Z4,IF(AND(AN4&lt;&gt;"",AN4&lt;&gt;G2,AN4&lt;&gt;G3),AN4,IF(AND(AF5&lt;&gt;"",AF5&lt;&gt;G2,AF5&lt;&gt;G3),AF5,IF(AND(AH5&lt;&gt;"",AH5&lt;&gt;G2,AH5&lt;&gt;G3),AH5,IF(AND(AK4&lt;&gt;"",AK4&lt;&gt;G2,AK4&lt;&gt;G3),AK4,"")))))</f>
        <v/>
      </c>
      <c r="H4" s="300"/>
      <c r="I4" s="300"/>
      <c r="J4" s="300"/>
      <c r="K4" s="300"/>
      <c r="L4" s="300"/>
      <c r="M4" s="300"/>
      <c r="N4" s="300"/>
      <c r="O4" s="301"/>
      <c r="Q4" s="297" t="str">
        <f ca="1">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c>
      <c r="R4" s="298"/>
      <c r="T4" s="302" t="str">
        <f ca="1">IF(OR(T2="Yes",W2="Yes"),"When more than 7 sequential points fall above or below the mean that is unusual and may indicate a sigificant change in process. This process is not in control. There is a run of points " &amp; IF(AND(T2="Yes",W2="Yes")," above and below",IF(T2= "Yes", " above", "below"))&amp; " the mean.","")</f>
        <v/>
      </c>
      <c r="U4" s="304"/>
      <c r="V4" s="303"/>
      <c r="W4" s="16"/>
      <c r="X4" s="4"/>
      <c r="Y4" s="52"/>
      <c r="Z4" s="302" t="str">
        <f>IF(OR(Z2="Yes",AC2="Yes"),"When there is a run of 7 increasing or decreasing sequential points this may indicate a sigificant change in the process.  This process is not in control. In this data set there is a run of " &amp; IF(AND(Z2="Yes",AC2="Yes")," rising and falling ",IF(Z2= "Yes", "rising", "falling"))&amp; " points.","")</f>
        <v/>
      </c>
      <c r="AA4" s="304"/>
      <c r="AB4" s="303"/>
      <c r="AC4" s="16"/>
      <c r="AD4" s="4"/>
      <c r="AE4" s="52"/>
      <c r="AF4" s="16"/>
      <c r="AG4" s="16"/>
      <c r="AH4" s="16"/>
      <c r="AI4" s="16"/>
      <c r="AK4" s="302" t="str">
        <f>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f>
        <v/>
      </c>
      <c r="AL4" s="303"/>
      <c r="AN4" s="297" t="str">
        <f ca="1">IF(AO3&gt;0,"When more than 15 consecutive points lie within the mean +/- 1σ  this process is considered to be out of control.","")</f>
        <v/>
      </c>
      <c r="AO4" s="298"/>
      <c r="AP4" s="19"/>
      <c r="AQ4" s="19"/>
      <c r="AR4" s="19"/>
      <c r="AS4" s="19"/>
      <c r="AT4" s="19"/>
      <c r="AX4" s="2"/>
      <c r="BC4" s="51" t="s">
        <v>28</v>
      </c>
      <c r="BD4" s="51" t="s">
        <v>50</v>
      </c>
      <c r="BE4" s="51" t="s">
        <v>49</v>
      </c>
      <c r="BF4" s="51" t="s">
        <v>48</v>
      </c>
      <c r="BG4" s="51" t="s">
        <v>47</v>
      </c>
      <c r="BH4" s="51" t="s">
        <v>46</v>
      </c>
      <c r="BJ4" s="50" t="s">
        <v>146</v>
      </c>
      <c r="BK4" s="50" t="s">
        <v>146</v>
      </c>
      <c r="BL4" s="50" t="s">
        <v>146</v>
      </c>
      <c r="BM4" s="50" t="s">
        <v>146</v>
      </c>
      <c r="BQ4" s="50" t="s">
        <v>45</v>
      </c>
    </row>
    <row r="5" spans="2:91" ht="38.25" customHeight="1" thickBot="1" x14ac:dyDescent="0.3">
      <c r="D5" s="4" t="s">
        <v>149</v>
      </c>
      <c r="E5" s="4">
        <f>IF(BK6=0,0,BK5)</f>
        <v>84</v>
      </c>
      <c r="F5">
        <f>COUNTIF($AK$9:$AK$120,3)</f>
        <v>0</v>
      </c>
      <c r="G5" s="299" t="str">
        <f ca="1">IF(AND(AN4&lt;&gt;"",AN4&lt;&gt;G2,AN4&lt;&gt;G3),AN4,IF(AND(AF5&lt;&gt;"",AF5&lt;&gt;G2,AF5&lt;&gt;G3,AF5&lt;&gt;G4),AF5,IF(AND(AH5&lt;&gt;"",AH5&lt;&gt;G2,AH5&lt;&gt;G3,AH5&lt;&gt;G4),AH5,IF(AND(AK4&lt;&gt;"",AK4&lt;&gt;G2,AK4&lt;&gt;G3,AK4&lt;&gt;G4),AK4,""))))</f>
        <v/>
      </c>
      <c r="H5" s="300"/>
      <c r="I5" s="300"/>
      <c r="J5" s="300"/>
      <c r="K5" s="300"/>
      <c r="L5" s="300"/>
      <c r="M5" s="300"/>
      <c r="N5" s="300"/>
      <c r="O5" s="301"/>
      <c r="Q5" s="13" t="str">
        <f ca="1">IF(R3&gt;0,IF(R3=1," There is  "," There are ")&amp;R3&amp;" data point(s) below the line","")</f>
        <v/>
      </c>
      <c r="R5" s="48" t="s">
        <v>43</v>
      </c>
      <c r="T5" s="48" t="s">
        <v>42</v>
      </c>
      <c r="U5" s="49"/>
      <c r="W5" s="13"/>
      <c r="X5" s="49"/>
      <c r="Y5" s="48"/>
      <c r="Z5" s="48" t="s">
        <v>41</v>
      </c>
      <c r="AA5" s="49"/>
      <c r="AC5" s="13"/>
      <c r="AD5" s="49"/>
      <c r="AE5" s="48"/>
      <c r="AF5" s="297" t="str">
        <f ca="1">IF($AG$3&gt;0,"When 2 out of 3 points lie near the LPL this is a warning that the process may be changing","")</f>
        <v/>
      </c>
      <c r="AG5" s="298"/>
      <c r="AH5" s="297" t="str">
        <f ca="1">IF($AI$3&gt;0,"When 2 out of 3 points lie near the UPL this is a warning that the process may be changing","")</f>
        <v/>
      </c>
      <c r="AI5" s="298"/>
      <c r="AL5" t="s">
        <v>40</v>
      </c>
      <c r="AN5" s="13" t="s">
        <v>39</v>
      </c>
      <c r="AO5" s="48"/>
      <c r="AX5" s="2"/>
      <c r="BC5" s="39"/>
      <c r="BD5" s="47">
        <v>17</v>
      </c>
      <c r="BE5" s="39">
        <v>18</v>
      </c>
      <c r="BF5" s="39">
        <v>46</v>
      </c>
      <c r="BG5" s="39">
        <v>55</v>
      </c>
      <c r="BH5" s="39">
        <v>105</v>
      </c>
      <c r="BI5" s="46"/>
      <c r="BJ5">
        <v>39</v>
      </c>
      <c r="BK5">
        <v>84</v>
      </c>
      <c r="BL5">
        <v>84</v>
      </c>
      <c r="BM5">
        <v>88</v>
      </c>
      <c r="BQ5" t="str">
        <f>'Front sheet'!F8</f>
        <v>High is good</v>
      </c>
      <c r="CD5" t="s">
        <v>164</v>
      </c>
      <c r="CH5" s="45" t="s">
        <v>38</v>
      </c>
    </row>
    <row r="6" spans="2:91" ht="37.5" customHeight="1" thickBot="1" x14ac:dyDescent="0.4">
      <c r="B6" s="4" t="s">
        <v>51</v>
      </c>
      <c r="C6" s="4">
        <f ca="1">SUM(OFFSET('Front sheet'!$E$10,0,0,'Work sheet 1'!$E$3,1))</f>
        <v>1475</v>
      </c>
      <c r="D6" s="4" t="s">
        <v>150</v>
      </c>
      <c r="E6" s="4">
        <f>IF(BL6=0,0,BL5)</f>
        <v>84</v>
      </c>
      <c r="F6">
        <f>COUNTIF($AK$9:$AK$120,4)</f>
        <v>0</v>
      </c>
      <c r="G6" s="299" t="str">
        <f ca="1">IF(AND(AN4&lt;&gt;"",AN4&lt;&gt;G2,AN4&lt;&gt;G3,AN4&lt;&gt;G5),AN4,IF(AND(AF5&lt;&gt;"",AF5&lt;&gt;G2,AF5&lt;&gt;G3,AF5&lt;&gt;G4,AF5&lt;&gt;G5),AF5,IF(AND(AH5&lt;&gt;"",AH5&lt;&gt;G2,AH5&lt;&gt;G3,AH5&lt;&gt;G4,AH5&lt;&gt;G5),AH5,IF(AND(AK4&lt;&gt;"",AK4&lt;&gt;G2,AK4&lt;&gt;G3,AK4&lt;&gt;G4,AK4&lt;&gt;G5),AK4,""))))</f>
        <v/>
      </c>
      <c r="H6" s="300"/>
      <c r="I6" s="300"/>
      <c r="J6" s="300"/>
      <c r="K6" s="300"/>
      <c r="L6" s="300"/>
      <c r="M6" s="300"/>
      <c r="N6" s="300"/>
      <c r="O6" s="301"/>
      <c r="Q6">
        <f ca="1">G9+P9*L9</f>
        <v>0.88080312044052922</v>
      </c>
      <c r="R6" s="44"/>
      <c r="AG6" t="s">
        <v>37</v>
      </c>
      <c r="AI6" t="s">
        <v>37</v>
      </c>
      <c r="BC6" s="42" t="s">
        <v>36</v>
      </c>
      <c r="BD6" s="43">
        <f>'Front sheet'!V32</f>
        <v>0</v>
      </c>
      <c r="BE6" s="42">
        <f>'Front sheet'!V33</f>
        <v>0</v>
      </c>
      <c r="BF6" s="42">
        <f>'Front sheet'!$V$34</f>
        <v>0</v>
      </c>
      <c r="BG6" s="42">
        <f>'Front sheet'!$V$35</f>
        <v>0</v>
      </c>
      <c r="BH6" s="42">
        <f>'Front sheet'!$V$36</f>
        <v>0</v>
      </c>
      <c r="BI6" s="41"/>
      <c r="BJ6" t="str">
        <f>IF('Front sheet'!Z32="","",'Front sheet'!Z32)</f>
        <v/>
      </c>
      <c r="BK6" t="str">
        <f>IF('Front sheet'!Z33="","",'Front sheet'!Z33)</f>
        <v/>
      </c>
      <c r="BL6" t="str">
        <f>IF('Front sheet'!Z34="","",'Front sheet'!Z34)</f>
        <v/>
      </c>
      <c r="BM6" t="str">
        <f>IF('Front sheet'!Z35="","",'Front sheet'!Z35)</f>
        <v/>
      </c>
      <c r="BQ6" s="39">
        <f>VLOOKUP(BQ5,'Front sheet'!$BE$5:$BF$7,2,0)</f>
        <v>1</v>
      </c>
      <c r="BR6" s="39"/>
      <c r="BS6" s="39"/>
      <c r="BT6" s="39"/>
      <c r="BU6" s="39"/>
      <c r="BV6" s="39"/>
      <c r="BW6" s="39"/>
      <c r="BX6" s="39"/>
      <c r="BY6" s="39"/>
      <c r="BZ6" s="39"/>
      <c r="CA6" s="39"/>
      <c r="CB6" s="39"/>
      <c r="CC6" s="39"/>
      <c r="CD6" s="39"/>
      <c r="CE6" s="39"/>
      <c r="CF6" s="39"/>
      <c r="CG6" s="39" t="str">
        <f ca="1">IF('Front sheet'!Q3="","",IF(AND('Front sheet'!Q3&lt;OFFSET('Work sheet 1'!H8,$E$3,0),'Front sheet'!Q3&gt;OFFSET('Work sheet 1'!I8,$E$3,0)),"Flip",IF(AND('Front sheet'!Q3&lt;OFFSET('Work sheet 1'!I8,E3,0),'Work sheet 1'!BQ6=1),"Pass",IF(AND('Front sheet'!Q3&gt;OFFSET('Work sheet 1'!H8,E3,0),'Work sheet 1'!BQ6=2),"Pass","Fail"))))</f>
        <v>Flip</v>
      </c>
      <c r="CH6" s="40">
        <f>IF(E3&gt;100,5,IF(E3&gt;70,4,IF(E3&gt;40,3,IF(E3&gt;20,2,1))))</f>
        <v>1</v>
      </c>
      <c r="CI6" s="39"/>
      <c r="CJ6" s="39"/>
    </row>
    <row r="7" spans="2:91" ht="33" customHeight="1" thickBot="1" x14ac:dyDescent="0.3">
      <c r="B7" s="4" t="s">
        <v>44</v>
      </c>
      <c r="C7" s="143">
        <f ca="1">SUM(OFFSET('Front sheet'!$D$10,0,0,'Work sheet 1'!$E$3,1))</f>
        <v>1291</v>
      </c>
      <c r="D7" s="143" t="s">
        <v>151</v>
      </c>
      <c r="E7" s="143">
        <f>IF(BM6=0,0,BM5)</f>
        <v>88</v>
      </c>
      <c r="F7">
        <f>COUNTIF($AK$9:$AK$120,5)</f>
        <v>0</v>
      </c>
      <c r="K7" s="34" t="s">
        <v>28</v>
      </c>
      <c r="L7" s="38"/>
      <c r="M7" s="37"/>
      <c r="N7" s="37"/>
      <c r="O7" s="37" t="s">
        <v>35</v>
      </c>
      <c r="Q7" s="35" t="s">
        <v>34</v>
      </c>
      <c r="R7" s="35" t="s">
        <v>33</v>
      </c>
      <c r="T7" s="37"/>
      <c r="U7" s="37"/>
      <c r="W7" s="37"/>
      <c r="X7" s="37"/>
      <c r="Z7" s="37"/>
      <c r="AA7" s="37"/>
      <c r="AC7" s="37"/>
      <c r="AD7" s="37"/>
      <c r="AF7" s="37"/>
      <c r="AG7" s="37"/>
      <c r="AH7" s="37"/>
      <c r="AI7" s="37"/>
      <c r="AK7" s="37"/>
      <c r="AL7" s="37"/>
      <c r="AN7" s="37"/>
      <c r="AO7" s="37"/>
      <c r="AP7" s="37"/>
      <c r="AQ7" s="37"/>
      <c r="AR7" s="37"/>
      <c r="AS7" s="36" t="str">
        <f>'Front sheet'!$F$8</f>
        <v>High is good</v>
      </c>
      <c r="AT7" s="35"/>
      <c r="AX7" s="34" t="s">
        <v>28</v>
      </c>
      <c r="AY7" s="2" t="s">
        <v>32</v>
      </c>
      <c r="BC7" s="33"/>
      <c r="BD7" s="32">
        <v>1</v>
      </c>
      <c r="BE7" s="32">
        <v>2</v>
      </c>
      <c r="BF7" s="32">
        <v>3</v>
      </c>
      <c r="BG7" s="32">
        <v>4</v>
      </c>
      <c r="BH7" s="32">
        <v>5</v>
      </c>
      <c r="BI7" s="31"/>
      <c r="BJ7" s="32">
        <v>1</v>
      </c>
      <c r="BK7" s="32">
        <v>2</v>
      </c>
      <c r="BL7" s="32">
        <v>3</v>
      </c>
      <c r="BM7" s="32">
        <v>4</v>
      </c>
      <c r="BQ7" s="292" t="s">
        <v>31</v>
      </c>
      <c r="BR7" s="293"/>
      <c r="BS7" s="293"/>
      <c r="BT7" s="294"/>
      <c r="BV7" s="292" t="s">
        <v>30</v>
      </c>
      <c r="BW7" s="293"/>
      <c r="BX7" s="294"/>
      <c r="BZ7" s="295" t="s">
        <v>85</v>
      </c>
      <c r="CA7" s="295"/>
      <c r="CB7" s="295"/>
      <c r="CC7" s="295"/>
      <c r="CD7" s="295"/>
      <c r="CE7" s="167"/>
      <c r="CG7" s="295" t="s">
        <v>29</v>
      </c>
      <c r="CH7" s="296"/>
      <c r="CI7" s="295"/>
    </row>
    <row r="8" spans="2:91" s="19" customFormat="1" ht="45.75" thickBot="1" x14ac:dyDescent="0.3">
      <c r="C8" s="185"/>
      <c r="D8" s="186" t="s">
        <v>28</v>
      </c>
      <c r="E8" s="186" t="s">
        <v>26</v>
      </c>
      <c r="F8" s="30" t="s">
        <v>27</v>
      </c>
      <c r="G8" s="187" t="s">
        <v>25</v>
      </c>
      <c r="H8" s="188" t="s">
        <v>24</v>
      </c>
      <c r="I8" s="187" t="s">
        <v>23</v>
      </c>
      <c r="J8" s="189" t="s">
        <v>152</v>
      </c>
      <c r="K8" s="29"/>
      <c r="L8" s="28" t="s">
        <v>22</v>
      </c>
      <c r="M8" s="27" t="s">
        <v>21</v>
      </c>
      <c r="N8" s="27" t="s">
        <v>153</v>
      </c>
      <c r="O8" s="27" t="s">
        <v>154</v>
      </c>
      <c r="P8" s="19" t="s">
        <v>155</v>
      </c>
      <c r="Q8" s="26" t="s">
        <v>20</v>
      </c>
      <c r="R8" s="26" t="s">
        <v>20</v>
      </c>
      <c r="S8"/>
      <c r="T8" s="27" t="s">
        <v>19</v>
      </c>
      <c r="U8" s="27"/>
      <c r="V8"/>
      <c r="W8" s="27" t="s">
        <v>18</v>
      </c>
      <c r="X8" s="27"/>
      <c r="Y8"/>
      <c r="Z8" s="27" t="s">
        <v>17</v>
      </c>
      <c r="AA8" s="27"/>
      <c r="AB8"/>
      <c r="AC8" s="27" t="s">
        <v>16</v>
      </c>
      <c r="AD8" s="27"/>
      <c r="AE8"/>
      <c r="AF8" s="27" t="s">
        <v>15</v>
      </c>
      <c r="AG8" s="27"/>
      <c r="AH8" s="27" t="s">
        <v>14</v>
      </c>
      <c r="AI8" s="27"/>
      <c r="AK8" s="30" t="s">
        <v>147</v>
      </c>
      <c r="AL8" s="27"/>
      <c r="AN8" s="27"/>
      <c r="AO8" s="27"/>
      <c r="AP8" s="27" t="s">
        <v>13</v>
      </c>
      <c r="AQ8" s="27" t="s">
        <v>12</v>
      </c>
      <c r="AR8" s="27" t="s">
        <v>11</v>
      </c>
      <c r="AS8" s="26" t="s">
        <v>10</v>
      </c>
      <c r="AT8" s="26" t="s">
        <v>9</v>
      </c>
      <c r="AU8" s="26" t="s">
        <v>169</v>
      </c>
      <c r="AV8" s="26" t="s">
        <v>170</v>
      </c>
      <c r="AX8" s="25"/>
      <c r="AY8" s="24"/>
      <c r="BA8" s="24"/>
      <c r="BB8" s="19" t="str">
        <f>'Front sheet'!F44</f>
        <v>No</v>
      </c>
      <c r="BC8" s="23"/>
      <c r="BD8" s="22">
        <f ca="1">OFFSET($BC8,BD5,0)</f>
        <v>45677</v>
      </c>
      <c r="BE8" s="22">
        <f ca="1">OFFSET($BC8,BE5,0)</f>
        <v>45684</v>
      </c>
      <c r="BF8" s="22" t="str">
        <f ca="1">OFFSET($BC8,BF5,0)</f>
        <v/>
      </c>
      <c r="BG8" s="22" t="str">
        <f ca="1">OFFSET($BC8,BG5,0)</f>
        <v/>
      </c>
      <c r="BH8" s="22" t="str">
        <f ca="1">OFFSET($BC8,BH5,0)</f>
        <v/>
      </c>
      <c r="BI8" s="21"/>
      <c r="BJ8" s="142" t="str">
        <f ca="1">OFFSET($BC8,BJ5,0)</f>
        <v/>
      </c>
      <c r="BK8" s="142" t="str">
        <f ca="1">OFFSET($BC8,BK5,0)</f>
        <v/>
      </c>
      <c r="BL8" s="142" t="str">
        <f ca="1">OFFSET($BC8,BL5,0)</f>
        <v/>
      </c>
      <c r="BM8" s="142" t="str">
        <f ca="1">OFFSET($BC8,BM5,0)</f>
        <v/>
      </c>
      <c r="BQ8" s="20" t="s">
        <v>7</v>
      </c>
      <c r="BR8" s="170" t="s">
        <v>8</v>
      </c>
      <c r="BS8" s="171" t="s">
        <v>6</v>
      </c>
      <c r="BT8" s="172" t="s">
        <v>5</v>
      </c>
      <c r="BV8" s="20" t="s">
        <v>7</v>
      </c>
      <c r="BW8" s="171" t="s">
        <v>6</v>
      </c>
      <c r="BX8" s="172" t="s">
        <v>5</v>
      </c>
      <c r="BZ8" s="168" t="s">
        <v>7</v>
      </c>
      <c r="CA8" s="169" t="s">
        <v>165</v>
      </c>
      <c r="CB8" s="169" t="s">
        <v>166</v>
      </c>
      <c r="CC8" s="169" t="s">
        <v>167</v>
      </c>
      <c r="CD8" s="169" t="s">
        <v>168</v>
      </c>
      <c r="CG8" s="20" t="s">
        <v>4</v>
      </c>
      <c r="CH8" s="20" t="s">
        <v>3</v>
      </c>
      <c r="CI8" s="20" t="s">
        <v>2</v>
      </c>
      <c r="CJ8" s="20" t="s">
        <v>1</v>
      </c>
      <c r="CL8" s="19" t="s">
        <v>0</v>
      </c>
    </row>
    <row r="9" spans="2:91" ht="15.75" thickBot="1" x14ac:dyDescent="0.3">
      <c r="B9">
        <v>1</v>
      </c>
      <c r="C9" s="144">
        <v>1</v>
      </c>
      <c r="D9" s="145">
        <f>IF('Front sheet'!$C10="","",'Front sheet'!$C10)</f>
        <v>45565</v>
      </c>
      <c r="E9" s="182">
        <f>IF('Front sheet'!E10="",NA(),'Front sheet'!E10)</f>
        <v>86</v>
      </c>
      <c r="F9" s="195">
        <f>IF('Front sheet'!D10="",NA(),'Front sheet'!D10/'Front sheet'!E10)</f>
        <v>0.77906976744186052</v>
      </c>
      <c r="G9" s="206">
        <f t="shared" ref="G9:G40" ca="1" si="0">IF($E$4=0,SUM(Tally0)/SUM(Denom0),IF($B9&lt;=$F$3,SUM(Tally)/SUM(Denom),IF(B9&lt;=$F$4+$F$3,SUM(Tally2)/SUM(Denom2),IF(B9&lt;=$F$3+$F$4+$F$5,SUM(Tally3)/SUM(Denom3),IF(B9&lt;=$F$3+$F$4+$F$5+$F$6,SUM(Tally4)/SUM(Denom4),IF(B9&lt;=$F$3+$F$4+$F$5+$F$6+$F$7,SUM(Tally5)/SUM(Denom5),NA()))))))</f>
        <v>0.87525423728813556</v>
      </c>
      <c r="H9" s="200">
        <f ca="1">IF($C$1="Yes",IF($E$3&gt;=13,G9+P9,#N/A),IF($E$3&gt;=13,G9+M9,#N/A))</f>
        <v>0.98214792042734755</v>
      </c>
      <c r="I9" s="192">
        <f ca="1">IF($C$1="Yes",IF($E$3&gt;=13,G9-P9,#N/A),IF($E$3&gt;=13,G9-M9,#N/A))</f>
        <v>0.76836055414892357</v>
      </c>
      <c r="J9" s="150">
        <f>IF('Front sheet'!E10="",NA(),'Front sheet'!D10)</f>
        <v>67</v>
      </c>
      <c r="K9" s="10">
        <f t="shared" ref="K9:K40" si="1">D9</f>
        <v>45565</v>
      </c>
      <c r="L9" s="9">
        <f ca="1">SQRT((G9*(1-G9)/E9))</f>
        <v>3.5631227713070646E-2</v>
      </c>
      <c r="M9" s="8">
        <f t="shared" ref="M9:M40" ca="1" si="2">L9*3</f>
        <v>0.10689368313921194</v>
      </c>
      <c r="N9">
        <f ca="1">((F9-G9))/L9</f>
        <v>-2.6994430453203715</v>
      </c>
      <c r="O9" s="8"/>
      <c r="P9">
        <f t="shared" ref="P9:P40" ca="1" si="3">3*(AVERAGE(OFFSET($O$10,0,0,$E$3-1))/1.128)*L9</f>
        <v>0.15573089979041616</v>
      </c>
      <c r="Q9" s="8">
        <f ca="1">IF(ISERROR($F9),0,IF($F9&gt;$H9,MAX($Q8:Q$8)+1,0))</f>
        <v>0</v>
      </c>
      <c r="R9" s="8">
        <f ca="1">IF(ISERROR($F9),0,IF($F9&lt;$I9,MAX($R8:R$8)+1,0))</f>
        <v>0</v>
      </c>
      <c r="T9" s="8">
        <f t="shared" ref="T9:T40" ca="1" si="4">IF(ISERROR(F9),0,IF(F9&gt;G9,1,0))</f>
        <v>0</v>
      </c>
      <c r="U9" s="8">
        <f t="shared" ref="U9" ca="1" si="5">IF(AND(U8=1,T9=1),1,IF(SUM(T9:T15)&gt;=7,1,0))</f>
        <v>0</v>
      </c>
      <c r="W9" s="8">
        <f t="shared" ref="W9:W40" ca="1" si="6">IF(ISERROR(F9),0,IF(F9&lt;G9,1,0))</f>
        <v>1</v>
      </c>
      <c r="X9" s="8">
        <f t="shared" ref="X9" ca="1" si="7">IF(AND(X8=1,W9=1),1,IF(SUM(W9:W15)&gt;=7,1,0))</f>
        <v>0</v>
      </c>
      <c r="Z9" s="8">
        <f t="shared" ref="Z9:Z40" si="8">IF(OR(ISERROR(F9),ISERROR(F8)),0,IF(F9=F8,0.5,IF(F9&gt;F8,1,0)))</f>
        <v>0</v>
      </c>
      <c r="AA9" s="8">
        <f t="shared" ref="AA9" si="9">IF(AND(AA8&gt;0,Z9&gt;0),1,IF(SUM(Z10:Z15)&gt;=6,1,IF(MOD(SUM(Z10:Z15),1)&gt;0,IF(SUM(Z10:Z16)&gt;=6,1,0),0)))</f>
        <v>0</v>
      </c>
      <c r="AC9" s="8">
        <f t="shared" ref="AC9:AC40" si="10">IF(OR(ISERROR(F9),ISERROR(F8)),0,IF(F9=F8,0.5,IF(F9&lt;F8,1,0)))</f>
        <v>1</v>
      </c>
      <c r="AD9" s="8">
        <f t="shared" ref="AD9" si="11">IF(AND(AD8&gt;0,AC9&gt;0),1,IF(SUM(AC10:AC15)&gt;=6,1,IF(MOD(SUM(AC10:AC15),1)&gt;0,IF(SUM(AC10:AC16)&gt;=6,1,0),0)))</f>
        <v>0</v>
      </c>
      <c r="AF9" s="8">
        <f ca="1">IFERROR(IF(F9="",0,IF(AND(F9&lt;IF($C$1="Yes",G9-2*P9/3,G9-2*L9),F9&gt;I9),1,0)),0)</f>
        <v>1</v>
      </c>
      <c r="AG9" s="8">
        <f ca="1">IF(AF9=0,0,IF(AND(AF9=1,SUM(AF7:AF9)&gt;=2),1,IF(AND(AF9=1,SUM(AF8:AF10)&gt;=2),1,IF(AND(AF9=1,SUM(AF9:AF11)&gt;=2),1,0))))</f>
        <v>0</v>
      </c>
      <c r="AH9" s="8">
        <f ca="1">IFERROR(IF(F9="",0,IF(AND(F9&gt;IF($C$1="Yes",G9+(2*(P9/3)),G9+(2*L9)),F9&lt;H9),1,0)),0)</f>
        <v>0</v>
      </c>
      <c r="AI9" s="8">
        <f ca="1">IF(AH9=0,0,IF(AND(AH9=1,SUM(AH7:AH9)&gt;=2),1,IF(AND(AH9=1,SUM(AH8:AH10)&gt;=2),1,IF(AND(AH9=1,SUM(AH9:AH11)&gt;=2),1,0))))</f>
        <v>0</v>
      </c>
      <c r="AK9" s="11">
        <f t="shared" ref="AK9:AK72" si="12">IF(F9="","",IF($E$4=0,1,IF(B9&lt;$E$4,1,IF($E$5=0,2,IF(B9&lt;$E$5,2,IF($E$6=0,3,IF(B9&lt;$E$6,3,IF($E$7=0,4,IF(B9&lt;$E$7,4,5)))))))))</f>
        <v>1</v>
      </c>
      <c r="AL9" s="8"/>
      <c r="AN9" s="8"/>
      <c r="AO9" s="8"/>
      <c r="AP9" s="8">
        <f>IF(C9&lt;=$E$3,IF(OR('Front sheet'!$Q$3="",'Front sheet'!$Q$3=0),NA(),'Front sheet'!$Q$3),NA())</f>
        <v>0.9</v>
      </c>
      <c r="AQ9" s="8" t="e">
        <f ca="1">IF($U$6=2,NA(),IF(AND(AA9=0,U9=0,Q9=0,AI9=0),#N/A,F9))</f>
        <v>#N/A</v>
      </c>
      <c r="AR9" s="8" t="e">
        <f ca="1">IF($U$6=2,NA(),IF(AND(AD9=0,X9=0,R9=0,AG9=0),#N/A,F9))</f>
        <v>#N/A</v>
      </c>
      <c r="AS9" s="8" t="e">
        <f ca="1">IF($AS$7="High is good",AR9,IF($AS$7="Low is good",AQ9,NA()))</f>
        <v>#N/A</v>
      </c>
      <c r="AT9" s="8" t="e">
        <f ca="1">IF($AS$7="High is good",AQ9,IF($AS$7="Low is good",AR9,NA()))</f>
        <v>#N/A</v>
      </c>
      <c r="AU9" s="8" t="e">
        <f>IF($AS$7="Neither",AV9,NA())</f>
        <v>#N/A</v>
      </c>
      <c r="AV9" s="8" t="e">
        <f ca="1">IF(AND(U9=0,R9=0,Q9=0,X9=0,X9=0,AA9=0,AD9=0,AG9=0,AI9=0),#N/A,F9)</f>
        <v>#N/A</v>
      </c>
      <c r="AX9" s="7">
        <f t="shared" ref="AX9:AX40" si="13">K9</f>
        <v>45565</v>
      </c>
      <c r="AY9" s="2">
        <f t="shared" ref="AY9:AY40" si="14">IFERROR(WEEKDAY(AX9),"")</f>
        <v>2</v>
      </c>
      <c r="BA9" s="2">
        <v>1</v>
      </c>
      <c r="BB9" t="str">
        <f t="shared" ref="BB9:BB40" ca="1" si="15">IF($BB$8="Yes","",IF(BC9=$BD$8,1,IF(BC9=$BE$8,2,IF(BC9=$BF$8,3,IF(BC9=$BG$8,4,IF(BC9=$BH$8,5,""))))))</f>
        <v/>
      </c>
      <c r="BC9" s="14">
        <f t="shared" ref="BC9:BC40" si="16">D9</f>
        <v>45565</v>
      </c>
      <c r="BD9" s="5" t="e">
        <f t="shared" ref="BD9:BD36" si="17">IF($BD$6=0,#N/A,IF(BB9=BD$7,$F9-$BC$2,#N/A))</f>
        <v>#N/A</v>
      </c>
      <c r="BE9" s="5" t="e">
        <f t="shared" ref="BE9:BE36" si="18">IF($BE$6=0,#N/A,IF($BB9=BE$7,$F9-$BC$2,#N/A))</f>
        <v>#N/A</v>
      </c>
      <c r="BF9" s="5" t="e">
        <f t="shared" ref="BF9:BF36" si="19">IF($BF$6=0,#N/A,IF($BB9=BF$7,$F9-$BC$2,#N/A))</f>
        <v>#N/A</v>
      </c>
      <c r="BG9" s="5" t="e">
        <f t="shared" ref="BG9:BG36" si="20">IF($BG$6=0,#N/A,IF($BB9=BG$7,$F9-$BC$2,#N/A))</f>
        <v>#N/A</v>
      </c>
      <c r="BH9" s="5" t="e">
        <f t="shared" ref="BH9:BH36" si="21">IF($BH$6=0,#N/A,IF($BB9=BH$7,$F9-$BC$2,#N/A))</f>
        <v>#N/A</v>
      </c>
      <c r="BI9" t="str">
        <f t="shared" ref="BI9:BI40" ca="1" si="22">IF(BC9=$BJ$8,1,IF(BC9=$BK$8,2,IF(BC9=$BL$8,3,IF(BC9=$BM$8,4,""))))</f>
        <v/>
      </c>
      <c r="BJ9" s="158" t="e">
        <f t="shared" ref="BJ9:BJ40" si="23">IF($BD$6=0,#N/A,IF(BI9=BJ$7,$F9-$BC$2,#N/A))</f>
        <v>#N/A</v>
      </c>
      <c r="BK9" s="158" t="e">
        <f t="shared" ref="BK9:BK40" si="24">IF($BE$6=0,#N/A,IF($BI9=BK$7,$F9-$BC$2,#N/A))</f>
        <v>#N/A</v>
      </c>
      <c r="BL9" s="158" t="e">
        <f t="shared" ref="BL9:BL40" si="25">IF($BF$6=0,#N/A,IF($BI9=BL$7,$F9-$BC$2,#N/A))</f>
        <v>#N/A</v>
      </c>
      <c r="BM9" s="158" t="e">
        <f t="shared" ref="BM9:BM40" si="26">IF($BG$6=0,#N/A,IF($BI9=BM$7,$F9-$BC$2,#N/A))</f>
        <v>#N/A</v>
      </c>
      <c r="BN9" s="19"/>
      <c r="BQ9" s="4">
        <v>1</v>
      </c>
      <c r="BR9" s="4" t="e">
        <f>IF($BQ9&lt;&gt;$E$3,NA(),IF(AND(ISERROR($AS9),ISERROR($AT9)),$BE$2+$BC$2,NA()))</f>
        <v>#N/A</v>
      </c>
      <c r="BS9" s="4" t="e">
        <f>IF(BQ9&lt;&gt;$E$3,NA(),IF($BQ$6&lt;&gt;1,NA(),IF(ISERROR(AS9),NA(),$BF$2+$BC$2)))</f>
        <v>#N/A</v>
      </c>
      <c r="BT9" s="4" t="e">
        <f>IF(BQ9&lt;&gt;$E$3,NA(),IF($BQ$6&lt;&gt;1,NA(),IF(ISERROR(AR9),NA(),$BE$2+$BC$2)))</f>
        <v>#N/A</v>
      </c>
      <c r="BV9" s="4">
        <v>1</v>
      </c>
      <c r="BW9" s="4" t="e">
        <f>IF(BQ9&lt;&gt;$E$3,NA(),IF($BQ$6=1,NA(),IF(ISERROR(AS9),NA(),$BE$2+$BC$2)))</f>
        <v>#N/A</v>
      </c>
      <c r="BX9" s="4" t="e">
        <f>IF(BQ9&lt;&gt;$E$3,NA(),IF($BQ$6=1,NA(),IF(ISERROR(AR9),NA(),$BE$2+$BC$2)))</f>
        <v>#N/A</v>
      </c>
      <c r="BZ9" s="4">
        <v>1</v>
      </c>
      <c r="CA9" s="4" t="e">
        <f>IF(BZ9&lt;&gt;$E$3,NA(),IF(OR(Q9&gt;=1,U9&gt;=1,AA9&gt;=1,AI9&gt;=1),1,NA()))</f>
        <v>#N/A</v>
      </c>
      <c r="CB9" s="4" t="e">
        <f>IF(AND(BZ9&lt;&gt;$E$3,CA9&lt;&gt;1),NA(),IF(OR($BQ$6=1,$BQ$6=2),NA(),IF(ISERROR(AV9),NA(),$BE$2+$BC$2)))</f>
        <v>#N/A</v>
      </c>
      <c r="CC9" s="4" t="e">
        <f>IF(BZ9&lt;&gt;$E$3,NA(),IF(OR(R9&gt;=1,X9&gt;=1,AD9&gt;=1,AG9&gt;=1),1,NA()))</f>
        <v>#N/A</v>
      </c>
      <c r="CD9" s="4" t="e">
        <f>IF(AND(BZ9&lt;&gt;$E$3,CC9&lt;&gt;1),NA(),IF(OR($BQ$6=1,$BQ$6=2),NA(),IF(ISERROR(AW9),NA(),$BE$2+$BC$2)))</f>
        <v>#N/A</v>
      </c>
      <c r="CG9" s="4">
        <v>1</v>
      </c>
      <c r="CH9" s="4" t="e">
        <f t="shared" ref="CH9:CH40" si="27">IF(CG9&lt;&gt;$E$3-$CH$6,NA(),IF($CG$6&lt;&gt;"Pass",NA(),$BE$2+$BC$2))</f>
        <v>#N/A</v>
      </c>
      <c r="CI9" s="4" t="e">
        <f t="shared" ref="CI9:CI40" si="28">IF(CG9&lt;&gt;$E$3-$CH$6,NA(),IF($CG$6&lt;&gt;"Fail",NA(),$BE$2+$BC$2))</f>
        <v>#N/A</v>
      </c>
      <c r="CJ9" s="4" t="e">
        <f t="shared" ref="CJ9:CJ40" si="29">IF(CG9&lt;&gt;$E$3-$CH$6,NA(),IF($CG$6&lt;&gt;"Flip",NA(),$BE$2+$BC$2))</f>
        <v>#N/A</v>
      </c>
      <c r="CL9">
        <f t="shared" ref="CL9:CL36" si="30">IF(ISERROR(F9),0,F9)</f>
        <v>0.77906976744186052</v>
      </c>
      <c r="CM9">
        <f t="shared" ref="CM9:CM36" si="31">IF(ISERROR(F9),0,1)</f>
        <v>1</v>
      </c>
    </row>
    <row r="10" spans="2:91" ht="15.75" thickBot="1" x14ac:dyDescent="0.3">
      <c r="B10">
        <f t="shared" ref="B10:B36" si="32">IF(ISERROR(F10),0,C10)</f>
        <v>2</v>
      </c>
      <c r="C10" s="16">
        <v>2</v>
      </c>
      <c r="D10" s="146">
        <f>IF('Front sheet'!$C11="","",'Front sheet'!$C11)</f>
        <v>45572</v>
      </c>
      <c r="E10" s="148">
        <f>IF('Front sheet'!E11="",NA(),'Front sheet'!E11)</f>
        <v>75</v>
      </c>
      <c r="F10" s="196">
        <f>IF('Front sheet'!D11="",NA(),'Front sheet'!D11/'Front sheet'!E11)</f>
        <v>0.96</v>
      </c>
      <c r="G10" s="205">
        <f t="shared" ca="1" si="0"/>
        <v>0.87525423728813556</v>
      </c>
      <c r="H10" s="201">
        <f t="shared" ref="H10:H73" ca="1" si="33">IF($C$1="Yes",IF($E$3&gt;=13,G10+P10,#N/A),IF($E$3&gt;=13,G10+M10,#N/A))</f>
        <v>0.98971868979491151</v>
      </c>
      <c r="I10" s="157">
        <f t="shared" ref="I10:I73" ca="1" si="34">IF($C$1="Yes",IF($E$3&gt;=13,G10-P10,#N/A),IF($E$3&gt;=13,G10-M10,#N/A))</f>
        <v>0.76078978478135961</v>
      </c>
      <c r="J10" s="151">
        <f>IF('Front sheet'!E11="",NA(),'Front sheet'!D11)</f>
        <v>72</v>
      </c>
      <c r="K10" s="10">
        <f t="shared" si="1"/>
        <v>45572</v>
      </c>
      <c r="L10" s="9">
        <f t="shared" ref="L10:L40" ca="1" si="35">SQRT((G10*(1-G10)/E10))</f>
        <v>3.8154817502258638E-2</v>
      </c>
      <c r="M10" s="8">
        <f t="shared" ca="1" si="2"/>
        <v>0.11446445250677592</v>
      </c>
      <c r="N10">
        <f t="shared" ref="N10:N40" ca="1" si="36">((F10-G10))/L10</f>
        <v>2.2211025568880713</v>
      </c>
      <c r="O10" s="8">
        <f ca="1">ABS(N9-N10)</f>
        <v>4.9205456022084428</v>
      </c>
      <c r="P10">
        <f t="shared" ca="1" si="3"/>
        <v>0.16676057611077455</v>
      </c>
      <c r="Q10" s="8">
        <f ca="1">IF(ISERROR($F10),0,IF($F10&gt;$H10,MAX($Q$8:Q9)+1,0))</f>
        <v>0</v>
      </c>
      <c r="R10" s="8">
        <f ca="1">IF(ISERROR($F10),0,IF($F10&lt;$I10,MAX($R$8:R9)+1,0))</f>
        <v>0</v>
      </c>
      <c r="T10" s="8">
        <f t="shared" ca="1" si="4"/>
        <v>1</v>
      </c>
      <c r="U10" s="8">
        <f t="shared" ref="U10:U73" ca="1" si="37">IF(AND(U9=1,T10=1),1,IF(SUM(T10:T16)&gt;=7,1,0))</f>
        <v>0</v>
      </c>
      <c r="W10" s="8">
        <f t="shared" ca="1" si="6"/>
        <v>0</v>
      </c>
      <c r="X10" s="8">
        <f t="shared" ref="X10:X73" ca="1" si="38">IF(AND(X9=1,W10=1),1,IF(SUM(W10:W16)&gt;=7,1,0))</f>
        <v>0</v>
      </c>
      <c r="Z10" s="8">
        <f t="shared" si="8"/>
        <v>1</v>
      </c>
      <c r="AA10" s="8">
        <f t="shared" ref="AA10:AA73" si="39">IF(AND(AA9&gt;0,Z10&gt;0),1,IF(SUM(Z11:Z16)&gt;=6,1,IF(MOD(SUM(Z11:Z16),1)&gt;0,IF(SUM(Z11:Z17)&gt;=6,1,0),0)))</f>
        <v>0</v>
      </c>
      <c r="AC10" s="8">
        <f t="shared" si="10"/>
        <v>0</v>
      </c>
      <c r="AD10" s="8">
        <f t="shared" ref="AD10:AD73" si="40">IF(AND(AD9&gt;0,AC10&gt;0),1,IF(SUM(AC11:AC16)&gt;=6,1,IF(MOD(SUM(AC11:AC16),1)&gt;0,IF(SUM(AC11:AC17)&gt;=6,1,0),0)))</f>
        <v>0</v>
      </c>
      <c r="AF10" s="8">
        <f t="shared" ref="AF10:AF73" ca="1" si="41">IFERROR(IF(F10="",0,IF(AND(F10&lt;IF($C$1="Yes",G10-2*P10/3,G10-2*L10),F10&gt;I10),1,0)),0)</f>
        <v>0</v>
      </c>
      <c r="AG10" s="8">
        <f t="shared" ref="AG10:AG73" ca="1" si="42">IF(AF10=0,0,IF(AND(AF10=1,SUM(AF8:AF10)&gt;=2),1,IF(AND(AF10=1,SUM(AF9:AF11)&gt;=2),1,IF(AND(AF10=1,SUM(AF10:AF12)&gt;=2),1,0))))</f>
        <v>0</v>
      </c>
      <c r="AH10" s="8">
        <f t="shared" ref="AH10:AH73" ca="1" si="43">IFERROR(IF(F10="",0,IF(AND(F10&gt;IF($C$1="Yes",G10+(2*(P10/3)),G10+(2*L10)),F10&lt;H10),1,0)),0)</f>
        <v>1</v>
      </c>
      <c r="AI10" s="8">
        <f t="shared" ref="AI10:AI73" ca="1" si="44">IF(AH10=0,0,IF(AND(AH10=1,SUM(AH8:AH10)&gt;=2),1,IF(AND(AH10=1,SUM(AH9:AH11)&gt;=2),1,IF(AND(AH10=1,SUM(AH10:AH12)&gt;=2),1,0))))</f>
        <v>0</v>
      </c>
      <c r="AK10" s="11">
        <f t="shared" si="12"/>
        <v>1</v>
      </c>
      <c r="AL10" s="8"/>
      <c r="AN10" s="8"/>
      <c r="AO10" s="8"/>
      <c r="AP10" s="8">
        <f>IF(C10&lt;=$E$3,IF(OR('Front sheet'!$Q$3="",'Front sheet'!$Q$3=0),NA(),'Front sheet'!$Q$3),NA())</f>
        <v>0.9</v>
      </c>
      <c r="AQ10" s="8" t="e">
        <f t="shared" ref="AQ10:AQ73" ca="1" si="45">IF($U$6=2,NA(),IF(AND(AA10=0,U10=0,Q10=0,AI10=0),#N/A,F10))</f>
        <v>#N/A</v>
      </c>
      <c r="AR10" s="8" t="e">
        <f t="shared" ref="AR10:AR73" ca="1" si="46">IF($U$6=2,NA(),IF(AND(AD10=0,X10=0,R10=0,AG10=0),#N/A,F10))</f>
        <v>#N/A</v>
      </c>
      <c r="AS10" s="8" t="e">
        <f t="shared" ref="AS10:AS73" ca="1" si="47">IF($AS$7="High is good",AR10,IF($AS$7="Low is good",AQ10,NA()))</f>
        <v>#N/A</v>
      </c>
      <c r="AT10" s="8" t="e">
        <f t="shared" ref="AT10:AT73" ca="1" si="48">IF($AS$7="High is good",AQ10,IF($AS$7="Low is good",AR10,NA()))</f>
        <v>#N/A</v>
      </c>
      <c r="AU10" s="8" t="e">
        <f t="shared" ref="AU10:AU72" si="49">IF($AS$7="Neither",AV10,NA())</f>
        <v>#N/A</v>
      </c>
      <c r="AV10" s="8" t="e">
        <f t="shared" ref="AV10:AV73" ca="1" si="50">IF(AND(U10=0,R10=0,Q10=0,X10=0,X10=0,AA10=0,AD10=0,AG10=0,AI10=0),#N/A,F10)</f>
        <v>#N/A</v>
      </c>
      <c r="AX10" s="7">
        <f t="shared" si="13"/>
        <v>45572</v>
      </c>
      <c r="AY10" s="2">
        <f t="shared" si="14"/>
        <v>2</v>
      </c>
      <c r="BA10" s="2">
        <v>2</v>
      </c>
      <c r="BB10" t="str">
        <f t="shared" ca="1" si="15"/>
        <v/>
      </c>
      <c r="BC10" s="14">
        <f t="shared" si="16"/>
        <v>45572</v>
      </c>
      <c r="BD10" s="5" t="e">
        <f t="shared" si="17"/>
        <v>#N/A</v>
      </c>
      <c r="BE10" s="5" t="e">
        <f t="shared" si="18"/>
        <v>#N/A</v>
      </c>
      <c r="BF10" s="5" t="e">
        <f t="shared" si="19"/>
        <v>#N/A</v>
      </c>
      <c r="BG10" s="5" t="e">
        <f t="shared" si="20"/>
        <v>#N/A</v>
      </c>
      <c r="BH10" s="5" t="e">
        <f t="shared" si="21"/>
        <v>#N/A</v>
      </c>
      <c r="BI10" t="str">
        <f t="shared" ca="1" si="22"/>
        <v/>
      </c>
      <c r="BJ10" s="158" t="e">
        <f t="shared" si="23"/>
        <v>#N/A</v>
      </c>
      <c r="BK10" s="158" t="e">
        <f t="shared" si="24"/>
        <v>#N/A</v>
      </c>
      <c r="BL10" s="158" t="e">
        <f t="shared" si="25"/>
        <v>#N/A</v>
      </c>
      <c r="BM10" s="158" t="e">
        <f t="shared" si="26"/>
        <v>#N/A</v>
      </c>
      <c r="BN10" s="19"/>
      <c r="BQ10" s="4">
        <v>2</v>
      </c>
      <c r="BR10" s="4" t="e">
        <f t="shared" ref="BR10:BR73" si="51">IF($BQ10&lt;&gt;$E$3,NA(),IF(AND(ISERROR($AS10),ISERROR($AT10)),$BE$2+$BC$2,NA()))</f>
        <v>#N/A</v>
      </c>
      <c r="BS10" s="4" t="e">
        <f t="shared" ref="BS10:BS73" si="52">IF(BQ10&lt;&gt;$E$3,NA(),IF($BQ$6&lt;&gt;1,NA(),IF(ISERROR(AS10),NA(),$BF$2+$BC$2)))</f>
        <v>#N/A</v>
      </c>
      <c r="BT10" s="4" t="e">
        <f t="shared" ref="BT10:BT73" si="53">IF(BQ10&lt;&gt;$E$3,NA(),IF($BQ$6&lt;&gt;1,NA(),IF(ISERROR(AR10),NA(),$BE$2+$BC$2)))</f>
        <v>#N/A</v>
      </c>
      <c r="BV10" s="4">
        <v>2</v>
      </c>
      <c r="BW10" s="4" t="e">
        <f t="shared" ref="BW10:BW73" si="54">IF(BQ10&lt;&gt;$E$3,NA(),IF($BQ$6=1,NA(),IF(ISERROR(AS10),NA(),$BE$2+$BC$2)))</f>
        <v>#N/A</v>
      </c>
      <c r="BX10" s="4" t="e">
        <f t="shared" ref="BX10:BX73" si="55">IF(BQ10&lt;&gt;$E$3,NA(),IF($BQ$6=1,NA(),IF(ISERROR(AR10),NA(),$BE$2+$BC$2)))</f>
        <v>#N/A</v>
      </c>
      <c r="BZ10" s="4">
        <v>2</v>
      </c>
      <c r="CA10" s="4" t="e">
        <f t="shared" ref="CA10:CA73" si="56">IF(BZ10&lt;&gt;$E$3,NA(),IF(OR(Q10&gt;=1,U10&gt;=1,AA10&gt;=1,AI10&gt;=1),1,NA()))</f>
        <v>#N/A</v>
      </c>
      <c r="CB10" s="4" t="e">
        <f t="shared" ref="CB10:CB73" si="57">IF(AND(BZ10&lt;&gt;$E$3,CA10&lt;&gt;1),NA(),IF(OR($BQ$6=1,$BQ$6=2),NA(),IF(ISERROR(AV10),NA(),$BE$2+$BC$2)))</f>
        <v>#N/A</v>
      </c>
      <c r="CC10" s="4" t="e">
        <f t="shared" ref="CC10:CC73" si="58">IF(BZ10&lt;&gt;$E$3,NA(),IF(OR(R10&gt;=1,X10&gt;=1,AD10&gt;=1,AG10&gt;=1),1,NA()))</f>
        <v>#N/A</v>
      </c>
      <c r="CD10" s="4" t="e">
        <f t="shared" ref="CD10:CD73" si="59">IF(AND(BZ10&lt;&gt;$E$3,CC10&lt;&gt;1),NA(),IF(OR($BQ$6=1,$BQ$6=2),NA(),IF(ISERROR(AW10),NA(),$BE$2+$BC$2)))</f>
        <v>#N/A</v>
      </c>
      <c r="CG10" s="4">
        <v>2</v>
      </c>
      <c r="CH10" s="4" t="e">
        <f t="shared" si="27"/>
        <v>#N/A</v>
      </c>
      <c r="CI10" s="4" t="e">
        <f t="shared" si="28"/>
        <v>#N/A</v>
      </c>
      <c r="CJ10" s="4" t="e">
        <f t="shared" si="29"/>
        <v>#N/A</v>
      </c>
      <c r="CL10">
        <f t="shared" si="30"/>
        <v>0.96</v>
      </c>
      <c r="CM10">
        <f t="shared" si="31"/>
        <v>1</v>
      </c>
    </row>
    <row r="11" spans="2:91" ht="15.75" thickBot="1" x14ac:dyDescent="0.3">
      <c r="B11">
        <f t="shared" si="32"/>
        <v>3</v>
      </c>
      <c r="C11" s="16">
        <v>3</v>
      </c>
      <c r="D11" s="146">
        <f>IF('Front sheet'!$C12="","",'Front sheet'!$C12)</f>
        <v>45579</v>
      </c>
      <c r="E11" s="148">
        <f>IF('Front sheet'!E12="",NA(),'Front sheet'!E12)</f>
        <v>84</v>
      </c>
      <c r="F11" s="196">
        <f>IF('Front sheet'!D12="",NA(),'Front sheet'!D12/'Front sheet'!E12)</f>
        <v>0.91666666666666663</v>
      </c>
      <c r="G11" s="205">
        <f t="shared" ca="1" si="0"/>
        <v>0.87525423728813556</v>
      </c>
      <c r="H11" s="201">
        <f t="shared" ca="1" si="33"/>
        <v>0.98341297846316877</v>
      </c>
      <c r="I11" s="157">
        <f t="shared" ca="1" si="34"/>
        <v>0.76709549611310235</v>
      </c>
      <c r="J11" s="151">
        <f>IF('Front sheet'!E12="",NA(),'Front sheet'!D12)</f>
        <v>77</v>
      </c>
      <c r="K11" s="10">
        <f t="shared" si="1"/>
        <v>45579</v>
      </c>
      <c r="L11" s="9">
        <f t="shared" ca="1" si="35"/>
        <v>3.6052913725011064E-2</v>
      </c>
      <c r="M11" s="8">
        <f t="shared" ca="1" si="2"/>
        <v>0.10815874117503319</v>
      </c>
      <c r="N11">
        <f t="shared" ca="1" si="36"/>
        <v>1.1486569350371794</v>
      </c>
      <c r="O11" s="8">
        <f t="shared" ref="O11:O74" ca="1" si="60">ABS(N10-N11)</f>
        <v>1.072445621850892</v>
      </c>
      <c r="P11">
        <f t="shared" ca="1" si="3"/>
        <v>0.15757393317106005</v>
      </c>
      <c r="Q11" s="8">
        <f ca="1">IF(ISERROR($F11),0,IF($F11&gt;$H11,MAX($Q$8:Q10)+1,0))</f>
        <v>0</v>
      </c>
      <c r="R11" s="8">
        <f ca="1">IF(ISERROR($F11),0,IF($F11&lt;$I11,MAX($R$8:R10)+1,0))</f>
        <v>0</v>
      </c>
      <c r="T11" s="8">
        <f t="shared" ca="1" si="4"/>
        <v>1</v>
      </c>
      <c r="U11" s="8">
        <f t="shared" ca="1" si="37"/>
        <v>0</v>
      </c>
      <c r="W11" s="8">
        <f t="shared" ca="1" si="6"/>
        <v>0</v>
      </c>
      <c r="X11" s="8">
        <f t="shared" ca="1" si="38"/>
        <v>0</v>
      </c>
      <c r="Z11" s="8">
        <f t="shared" si="8"/>
        <v>0</v>
      </c>
      <c r="AA11" s="8">
        <f t="shared" si="39"/>
        <v>0</v>
      </c>
      <c r="AC11" s="8">
        <f t="shared" si="10"/>
        <v>1</v>
      </c>
      <c r="AD11" s="8">
        <f t="shared" si="40"/>
        <v>0</v>
      </c>
      <c r="AF11" s="8">
        <f t="shared" ca="1" si="41"/>
        <v>0</v>
      </c>
      <c r="AG11" s="8">
        <f t="shared" ca="1" si="42"/>
        <v>0</v>
      </c>
      <c r="AH11" s="8">
        <f t="shared" ca="1" si="43"/>
        <v>0</v>
      </c>
      <c r="AI11" s="8">
        <f t="shared" ca="1" si="44"/>
        <v>0</v>
      </c>
      <c r="AK11" s="11">
        <f t="shared" si="12"/>
        <v>1</v>
      </c>
      <c r="AL11" s="8"/>
      <c r="AN11" s="8"/>
      <c r="AO11" s="8"/>
      <c r="AP11" s="8">
        <f>IF(C11&lt;=$E$3,IF(OR('Front sheet'!$Q$3="",'Front sheet'!$Q$3=0),NA(),'Front sheet'!$Q$3),NA())</f>
        <v>0.9</v>
      </c>
      <c r="AQ11" s="8" t="e">
        <f t="shared" ca="1" si="45"/>
        <v>#N/A</v>
      </c>
      <c r="AR11" s="8" t="e">
        <f t="shared" ca="1" si="46"/>
        <v>#N/A</v>
      </c>
      <c r="AS11" s="8" t="e">
        <f t="shared" ca="1" si="47"/>
        <v>#N/A</v>
      </c>
      <c r="AT11" s="8" t="e">
        <f t="shared" ca="1" si="48"/>
        <v>#N/A</v>
      </c>
      <c r="AU11" s="8" t="e">
        <f t="shared" si="49"/>
        <v>#N/A</v>
      </c>
      <c r="AV11" s="8" t="e">
        <f t="shared" ca="1" si="50"/>
        <v>#N/A</v>
      </c>
      <c r="AX11" s="7">
        <f t="shared" si="13"/>
        <v>45579</v>
      </c>
      <c r="AY11" s="2">
        <f t="shared" si="14"/>
        <v>2</v>
      </c>
      <c r="BA11" s="2">
        <v>3</v>
      </c>
      <c r="BB11" t="str">
        <f t="shared" ca="1" si="15"/>
        <v/>
      </c>
      <c r="BC11" s="14">
        <f t="shared" si="16"/>
        <v>45579</v>
      </c>
      <c r="BD11" s="5" t="e">
        <f t="shared" si="17"/>
        <v>#N/A</v>
      </c>
      <c r="BE11" s="5" t="e">
        <f t="shared" si="18"/>
        <v>#N/A</v>
      </c>
      <c r="BF11" s="5" t="e">
        <f t="shared" si="19"/>
        <v>#N/A</v>
      </c>
      <c r="BG11" s="5" t="e">
        <f t="shared" si="20"/>
        <v>#N/A</v>
      </c>
      <c r="BH11" s="5" t="e">
        <f t="shared" si="21"/>
        <v>#N/A</v>
      </c>
      <c r="BI11" t="str">
        <f t="shared" ca="1" si="22"/>
        <v/>
      </c>
      <c r="BJ11" s="158" t="e">
        <f t="shared" si="23"/>
        <v>#N/A</v>
      </c>
      <c r="BK11" s="158" t="e">
        <f t="shared" si="24"/>
        <v>#N/A</v>
      </c>
      <c r="BL11" s="158" t="e">
        <f t="shared" si="25"/>
        <v>#N/A</v>
      </c>
      <c r="BM11" s="158" t="e">
        <f t="shared" si="26"/>
        <v>#N/A</v>
      </c>
      <c r="BN11" s="19"/>
      <c r="BQ11" s="4">
        <v>3</v>
      </c>
      <c r="BR11" s="4" t="e">
        <f t="shared" si="51"/>
        <v>#N/A</v>
      </c>
      <c r="BS11" s="4" t="e">
        <f t="shared" si="52"/>
        <v>#N/A</v>
      </c>
      <c r="BT11" s="4" t="e">
        <f t="shared" si="53"/>
        <v>#N/A</v>
      </c>
      <c r="BV11" s="4">
        <v>3</v>
      </c>
      <c r="BW11" s="4" t="e">
        <f t="shared" si="54"/>
        <v>#N/A</v>
      </c>
      <c r="BX11" s="4" t="e">
        <f t="shared" si="55"/>
        <v>#N/A</v>
      </c>
      <c r="BZ11" s="4">
        <v>3</v>
      </c>
      <c r="CA11" s="4" t="e">
        <f t="shared" si="56"/>
        <v>#N/A</v>
      </c>
      <c r="CB11" s="4" t="e">
        <f t="shared" si="57"/>
        <v>#N/A</v>
      </c>
      <c r="CC11" s="4" t="e">
        <f t="shared" si="58"/>
        <v>#N/A</v>
      </c>
      <c r="CD11" s="4" t="e">
        <f t="shared" si="59"/>
        <v>#N/A</v>
      </c>
      <c r="CG11" s="4">
        <v>3</v>
      </c>
      <c r="CH11" s="4" t="e">
        <f t="shared" si="27"/>
        <v>#N/A</v>
      </c>
      <c r="CI11" s="4" t="e">
        <f t="shared" si="28"/>
        <v>#N/A</v>
      </c>
      <c r="CJ11" s="4" t="e">
        <f t="shared" si="29"/>
        <v>#N/A</v>
      </c>
      <c r="CL11">
        <f t="shared" si="30"/>
        <v>0.91666666666666663</v>
      </c>
      <c r="CM11">
        <f t="shared" si="31"/>
        <v>1</v>
      </c>
    </row>
    <row r="12" spans="2:91" ht="15.75" thickBot="1" x14ac:dyDescent="0.3">
      <c r="B12">
        <f t="shared" si="32"/>
        <v>4</v>
      </c>
      <c r="C12" s="16">
        <v>4</v>
      </c>
      <c r="D12" s="146">
        <f>IF('Front sheet'!$C13="","",'Front sheet'!$C13)</f>
        <v>45586</v>
      </c>
      <c r="E12" s="148">
        <f>IF('Front sheet'!E13="",NA(),'Front sheet'!E13)</f>
        <v>64</v>
      </c>
      <c r="F12" s="196">
        <f>IF('Front sheet'!D13="",NA(),'Front sheet'!D13/'Front sheet'!E13)</f>
        <v>0.953125</v>
      </c>
      <c r="G12" s="205">
        <f t="shared" ca="1" si="0"/>
        <v>0.87525423728813556</v>
      </c>
      <c r="H12" s="201">
        <f t="shared" ca="1" si="33"/>
        <v>0.99916564191456714</v>
      </c>
      <c r="I12" s="157">
        <f t="shared" ca="1" si="34"/>
        <v>0.75134283266170399</v>
      </c>
      <c r="J12" s="151">
        <f>IF('Front sheet'!E13="",NA(),'Front sheet'!D13)</f>
        <v>61</v>
      </c>
      <c r="K12" s="10">
        <f t="shared" si="1"/>
        <v>45586</v>
      </c>
      <c r="L12" s="9">
        <f t="shared" ca="1" si="35"/>
        <v>4.1303801542143879E-2</v>
      </c>
      <c r="M12" s="8">
        <f t="shared" ca="1" si="2"/>
        <v>0.12391140462643163</v>
      </c>
      <c r="N12">
        <f t="shared" ca="1" si="36"/>
        <v>1.8853170847339527</v>
      </c>
      <c r="O12" s="8">
        <f t="shared" ca="1" si="60"/>
        <v>0.73666014969677329</v>
      </c>
      <c r="P12">
        <f t="shared" ca="1" si="3"/>
        <v>0.18052361907707393</v>
      </c>
      <c r="Q12" s="8">
        <f ca="1">IF(ISERROR($F12),0,IF($F12&gt;$H12,MAX($Q$8:Q11)+1,0))</f>
        <v>0</v>
      </c>
      <c r="R12" s="8">
        <f ca="1">IF(ISERROR($F12),0,IF($F12&lt;$I12,MAX($R$8:R11)+1,0))</f>
        <v>0</v>
      </c>
      <c r="T12" s="8">
        <f t="shared" ca="1" si="4"/>
        <v>1</v>
      </c>
      <c r="U12" s="8">
        <f t="shared" ca="1" si="37"/>
        <v>0</v>
      </c>
      <c r="W12" s="8">
        <f t="shared" ca="1" si="6"/>
        <v>0</v>
      </c>
      <c r="X12" s="8">
        <f t="shared" ca="1" si="38"/>
        <v>0</v>
      </c>
      <c r="Z12" s="8">
        <f t="shared" si="8"/>
        <v>1</v>
      </c>
      <c r="AA12" s="8">
        <f t="shared" si="39"/>
        <v>0</v>
      </c>
      <c r="AC12" s="8">
        <f t="shared" si="10"/>
        <v>0</v>
      </c>
      <c r="AD12" s="8">
        <f t="shared" si="40"/>
        <v>0</v>
      </c>
      <c r="AF12" s="8">
        <f t="shared" ca="1" si="41"/>
        <v>0</v>
      </c>
      <c r="AG12" s="8">
        <f t="shared" ca="1" si="42"/>
        <v>0</v>
      </c>
      <c r="AH12" s="8">
        <f t="shared" ca="1" si="43"/>
        <v>0</v>
      </c>
      <c r="AI12" s="8">
        <f t="shared" ca="1" si="44"/>
        <v>0</v>
      </c>
      <c r="AK12" s="11">
        <f t="shared" si="12"/>
        <v>1</v>
      </c>
      <c r="AL12" s="8"/>
      <c r="AN12" s="8"/>
      <c r="AO12" s="8"/>
      <c r="AP12" s="8">
        <f>IF(C12&lt;=$E$3,IF(OR('Front sheet'!$Q$3="",'Front sheet'!$Q$3=0),NA(),'Front sheet'!$Q$3),NA())</f>
        <v>0.9</v>
      </c>
      <c r="AQ12" s="8" t="e">
        <f t="shared" ca="1" si="45"/>
        <v>#N/A</v>
      </c>
      <c r="AR12" s="8" t="e">
        <f t="shared" ca="1" si="46"/>
        <v>#N/A</v>
      </c>
      <c r="AS12" s="8" t="e">
        <f t="shared" ca="1" si="47"/>
        <v>#N/A</v>
      </c>
      <c r="AT12" s="8" t="e">
        <f t="shared" ca="1" si="48"/>
        <v>#N/A</v>
      </c>
      <c r="AU12" s="8" t="e">
        <f t="shared" si="49"/>
        <v>#N/A</v>
      </c>
      <c r="AV12" s="8" t="e">
        <f t="shared" ca="1" si="50"/>
        <v>#N/A</v>
      </c>
      <c r="AX12" s="7">
        <f t="shared" si="13"/>
        <v>45586</v>
      </c>
      <c r="AY12" s="2">
        <f t="shared" si="14"/>
        <v>2</v>
      </c>
      <c r="BA12" s="2">
        <v>4</v>
      </c>
      <c r="BB12" t="str">
        <f t="shared" ca="1" si="15"/>
        <v/>
      </c>
      <c r="BC12" s="14">
        <f t="shared" si="16"/>
        <v>45586</v>
      </c>
      <c r="BD12" s="5" t="e">
        <f t="shared" si="17"/>
        <v>#N/A</v>
      </c>
      <c r="BE12" s="5" t="e">
        <f t="shared" si="18"/>
        <v>#N/A</v>
      </c>
      <c r="BF12" s="5" t="e">
        <f t="shared" si="19"/>
        <v>#N/A</v>
      </c>
      <c r="BG12" s="5" t="e">
        <f t="shared" si="20"/>
        <v>#N/A</v>
      </c>
      <c r="BH12" s="5" t="e">
        <f t="shared" si="21"/>
        <v>#N/A</v>
      </c>
      <c r="BI12" t="str">
        <f t="shared" ca="1" si="22"/>
        <v/>
      </c>
      <c r="BJ12" s="158" t="e">
        <f t="shared" si="23"/>
        <v>#N/A</v>
      </c>
      <c r="BK12" s="158" t="e">
        <f t="shared" si="24"/>
        <v>#N/A</v>
      </c>
      <c r="BL12" s="158" t="e">
        <f t="shared" si="25"/>
        <v>#N/A</v>
      </c>
      <c r="BM12" s="158" t="e">
        <f t="shared" si="26"/>
        <v>#N/A</v>
      </c>
      <c r="BN12" s="19"/>
      <c r="BQ12" s="4">
        <v>4</v>
      </c>
      <c r="BR12" s="4" t="e">
        <f t="shared" si="51"/>
        <v>#N/A</v>
      </c>
      <c r="BS12" s="4" t="e">
        <f t="shared" si="52"/>
        <v>#N/A</v>
      </c>
      <c r="BT12" s="4" t="e">
        <f t="shared" si="53"/>
        <v>#N/A</v>
      </c>
      <c r="BV12" s="4">
        <v>4</v>
      </c>
      <c r="BW12" s="4" t="e">
        <f t="shared" si="54"/>
        <v>#N/A</v>
      </c>
      <c r="BX12" s="4" t="e">
        <f t="shared" si="55"/>
        <v>#N/A</v>
      </c>
      <c r="BZ12" s="4">
        <v>4</v>
      </c>
      <c r="CA12" s="4" t="e">
        <f t="shared" si="56"/>
        <v>#N/A</v>
      </c>
      <c r="CB12" s="4" t="e">
        <f t="shared" si="57"/>
        <v>#N/A</v>
      </c>
      <c r="CC12" s="4" t="e">
        <f t="shared" si="58"/>
        <v>#N/A</v>
      </c>
      <c r="CD12" s="4" t="e">
        <f t="shared" si="59"/>
        <v>#N/A</v>
      </c>
      <c r="CG12" s="4">
        <v>4</v>
      </c>
      <c r="CH12" s="4" t="e">
        <f t="shared" si="27"/>
        <v>#N/A</v>
      </c>
      <c r="CI12" s="4" t="e">
        <f t="shared" si="28"/>
        <v>#N/A</v>
      </c>
      <c r="CJ12" s="4" t="e">
        <f t="shared" si="29"/>
        <v>#N/A</v>
      </c>
      <c r="CL12">
        <f t="shared" si="30"/>
        <v>0.953125</v>
      </c>
      <c r="CM12">
        <f t="shared" si="31"/>
        <v>1</v>
      </c>
    </row>
    <row r="13" spans="2:91" ht="15.75" thickBot="1" x14ac:dyDescent="0.3">
      <c r="B13">
        <f t="shared" si="32"/>
        <v>5</v>
      </c>
      <c r="C13" s="16">
        <v>5</v>
      </c>
      <c r="D13" s="146">
        <f>IF('Front sheet'!$C14="","",'Front sheet'!$C14)</f>
        <v>45593</v>
      </c>
      <c r="E13" s="148">
        <f>IF('Front sheet'!E14="",NA(),'Front sheet'!E14)</f>
        <v>64</v>
      </c>
      <c r="F13" s="196">
        <f>IF('Front sheet'!D14="",NA(),'Front sheet'!D14/'Front sheet'!E14)</f>
        <v>0.859375</v>
      </c>
      <c r="G13" s="205">
        <f t="shared" ca="1" si="0"/>
        <v>0.87525423728813556</v>
      </c>
      <c r="H13" s="201">
        <f t="shared" ca="1" si="33"/>
        <v>0.99916564191456714</v>
      </c>
      <c r="I13" s="157">
        <f t="shared" ca="1" si="34"/>
        <v>0.75134283266170399</v>
      </c>
      <c r="J13" s="151">
        <f>IF('Front sheet'!E14="",NA(),'Front sheet'!D14)</f>
        <v>55</v>
      </c>
      <c r="K13" s="10">
        <f t="shared" si="1"/>
        <v>45593</v>
      </c>
      <c r="L13" s="9">
        <f t="shared" ca="1" si="35"/>
        <v>4.1303801542143879E-2</v>
      </c>
      <c r="M13" s="8">
        <f t="shared" ca="1" si="2"/>
        <v>0.12391140462643163</v>
      </c>
      <c r="N13">
        <f t="shared" ca="1" si="36"/>
        <v>-0.38444977690330406</v>
      </c>
      <c r="O13" s="8">
        <f t="shared" ca="1" si="60"/>
        <v>2.2697668616372568</v>
      </c>
      <c r="P13">
        <f t="shared" ca="1" si="3"/>
        <v>0.18052361907707393</v>
      </c>
      <c r="Q13" s="8">
        <f ca="1">IF(ISERROR($F13),0,IF($F13&gt;$H13,MAX($Q$8:Q12)+1,0))</f>
        <v>0</v>
      </c>
      <c r="R13" s="8">
        <f ca="1">IF(ISERROR($F13),0,IF($F13&lt;$I13,MAX($R$8:R12)+1,0))</f>
        <v>0</v>
      </c>
      <c r="T13" s="8">
        <f t="shared" ca="1" si="4"/>
        <v>0</v>
      </c>
      <c r="U13" s="8">
        <f t="shared" ca="1" si="37"/>
        <v>0</v>
      </c>
      <c r="W13" s="8">
        <f t="shared" ca="1" si="6"/>
        <v>1</v>
      </c>
      <c r="X13" s="8">
        <f t="shared" ca="1" si="38"/>
        <v>0</v>
      </c>
      <c r="Z13" s="8">
        <f t="shared" si="8"/>
        <v>0</v>
      </c>
      <c r="AA13" s="8">
        <f t="shared" si="39"/>
        <v>0</v>
      </c>
      <c r="AC13" s="8">
        <f t="shared" si="10"/>
        <v>1</v>
      </c>
      <c r="AD13" s="8">
        <f t="shared" si="40"/>
        <v>0</v>
      </c>
      <c r="AF13" s="8">
        <f t="shared" ca="1" si="41"/>
        <v>0</v>
      </c>
      <c r="AG13" s="8">
        <f t="shared" ca="1" si="42"/>
        <v>0</v>
      </c>
      <c r="AH13" s="8">
        <f t="shared" ca="1" si="43"/>
        <v>0</v>
      </c>
      <c r="AI13" s="8">
        <f t="shared" ca="1" si="44"/>
        <v>0</v>
      </c>
      <c r="AK13" s="11">
        <f t="shared" si="12"/>
        <v>1</v>
      </c>
      <c r="AL13" s="8"/>
      <c r="AN13" s="8"/>
      <c r="AO13" s="8"/>
      <c r="AP13" s="8">
        <f>IF(C13&lt;=$E$3,IF(OR('Front sheet'!$Q$3="",'Front sheet'!$Q$3=0),NA(),'Front sheet'!$Q$3),NA())</f>
        <v>0.9</v>
      </c>
      <c r="AQ13" s="8" t="e">
        <f t="shared" ca="1" si="45"/>
        <v>#N/A</v>
      </c>
      <c r="AR13" s="8" t="e">
        <f t="shared" ca="1" si="46"/>
        <v>#N/A</v>
      </c>
      <c r="AS13" s="8" t="e">
        <f t="shared" ca="1" si="47"/>
        <v>#N/A</v>
      </c>
      <c r="AT13" s="8" t="e">
        <f t="shared" ca="1" si="48"/>
        <v>#N/A</v>
      </c>
      <c r="AU13" s="8" t="e">
        <f t="shared" si="49"/>
        <v>#N/A</v>
      </c>
      <c r="AV13" s="8" t="e">
        <f t="shared" ca="1" si="50"/>
        <v>#N/A</v>
      </c>
      <c r="AX13" s="7">
        <f t="shared" si="13"/>
        <v>45593</v>
      </c>
      <c r="AY13" s="2">
        <f t="shared" si="14"/>
        <v>2</v>
      </c>
      <c r="BA13" s="2">
        <v>5</v>
      </c>
      <c r="BB13" t="str">
        <f t="shared" ca="1" si="15"/>
        <v/>
      </c>
      <c r="BC13" s="14">
        <f t="shared" si="16"/>
        <v>45593</v>
      </c>
      <c r="BD13" s="5" t="e">
        <f t="shared" si="17"/>
        <v>#N/A</v>
      </c>
      <c r="BE13" s="5" t="e">
        <f t="shared" si="18"/>
        <v>#N/A</v>
      </c>
      <c r="BF13" s="5" t="e">
        <f t="shared" si="19"/>
        <v>#N/A</v>
      </c>
      <c r="BG13" s="5" t="e">
        <f t="shared" si="20"/>
        <v>#N/A</v>
      </c>
      <c r="BH13" s="5" t="e">
        <f t="shared" si="21"/>
        <v>#N/A</v>
      </c>
      <c r="BI13" t="str">
        <f t="shared" ca="1" si="22"/>
        <v/>
      </c>
      <c r="BJ13" s="158" t="e">
        <f t="shared" si="23"/>
        <v>#N/A</v>
      </c>
      <c r="BK13" s="158" t="e">
        <f t="shared" si="24"/>
        <v>#N/A</v>
      </c>
      <c r="BL13" s="158" t="e">
        <f t="shared" si="25"/>
        <v>#N/A</v>
      </c>
      <c r="BM13" s="158" t="e">
        <f t="shared" si="26"/>
        <v>#N/A</v>
      </c>
      <c r="BN13" s="19"/>
      <c r="BQ13" s="4">
        <v>5</v>
      </c>
      <c r="BR13" s="4" t="e">
        <f t="shared" si="51"/>
        <v>#N/A</v>
      </c>
      <c r="BS13" s="4" t="e">
        <f t="shared" si="52"/>
        <v>#N/A</v>
      </c>
      <c r="BT13" s="4" t="e">
        <f t="shared" si="53"/>
        <v>#N/A</v>
      </c>
      <c r="BV13" s="4">
        <v>5</v>
      </c>
      <c r="BW13" s="4" t="e">
        <f t="shared" si="54"/>
        <v>#N/A</v>
      </c>
      <c r="BX13" s="4" t="e">
        <f t="shared" si="55"/>
        <v>#N/A</v>
      </c>
      <c r="BZ13" s="4">
        <v>5</v>
      </c>
      <c r="CA13" s="4" t="e">
        <f t="shared" si="56"/>
        <v>#N/A</v>
      </c>
      <c r="CB13" s="4" t="e">
        <f t="shared" si="57"/>
        <v>#N/A</v>
      </c>
      <c r="CC13" s="4" t="e">
        <f t="shared" si="58"/>
        <v>#N/A</v>
      </c>
      <c r="CD13" s="4" t="e">
        <f t="shared" si="59"/>
        <v>#N/A</v>
      </c>
      <c r="CG13" s="4">
        <v>5</v>
      </c>
      <c r="CH13" s="4" t="e">
        <f t="shared" si="27"/>
        <v>#N/A</v>
      </c>
      <c r="CI13" s="4" t="e">
        <f t="shared" si="28"/>
        <v>#N/A</v>
      </c>
      <c r="CJ13" s="4" t="e">
        <f t="shared" si="29"/>
        <v>#N/A</v>
      </c>
      <c r="CL13">
        <f t="shared" si="30"/>
        <v>0.859375</v>
      </c>
      <c r="CM13">
        <f t="shared" si="31"/>
        <v>1</v>
      </c>
    </row>
    <row r="14" spans="2:91" ht="15.75" thickBot="1" x14ac:dyDescent="0.3">
      <c r="B14">
        <f t="shared" si="32"/>
        <v>6</v>
      </c>
      <c r="C14" s="16">
        <v>6</v>
      </c>
      <c r="D14" s="146">
        <f>IF('Front sheet'!$C15="","",'Front sheet'!$C15)</f>
        <v>45600</v>
      </c>
      <c r="E14" s="148">
        <f>IF('Front sheet'!E15="",NA(),'Front sheet'!E15)</f>
        <v>80</v>
      </c>
      <c r="F14" s="196">
        <f>IF('Front sheet'!D15="",NA(),'Front sheet'!D15/'Front sheet'!E15)</f>
        <v>0.86250000000000004</v>
      </c>
      <c r="G14" s="205">
        <f t="shared" ca="1" si="0"/>
        <v>0.87525423728813556</v>
      </c>
      <c r="H14" s="201">
        <f t="shared" ca="1" si="33"/>
        <v>0.98608396686100885</v>
      </c>
      <c r="I14" s="157">
        <f t="shared" ca="1" si="34"/>
        <v>0.76442450771526227</v>
      </c>
      <c r="J14" s="151">
        <f>IF('Front sheet'!E15="",NA(),'Front sheet'!D15)</f>
        <v>69</v>
      </c>
      <c r="K14" s="10">
        <f t="shared" si="1"/>
        <v>45600</v>
      </c>
      <c r="L14" s="9">
        <f t="shared" ca="1" si="35"/>
        <v>3.6943243190957743E-2</v>
      </c>
      <c r="M14" s="8">
        <f t="shared" ca="1" si="2"/>
        <v>0.11082972957287324</v>
      </c>
      <c r="N14">
        <f t="shared" ca="1" si="36"/>
        <v>-0.34523870095025261</v>
      </c>
      <c r="O14" s="8">
        <f t="shared" ca="1" si="60"/>
        <v>3.9211075953051455E-2</v>
      </c>
      <c r="P14">
        <f t="shared" ca="1" si="3"/>
        <v>0.16146523352024605</v>
      </c>
      <c r="Q14" s="8">
        <f ca="1">IF(ISERROR($F14),0,IF($F14&gt;$H14,MAX($Q$8:Q13)+1,0))</f>
        <v>0</v>
      </c>
      <c r="R14" s="8">
        <f ca="1">IF(ISERROR($F14),0,IF($F14&lt;$I14,MAX($R$8:R13)+1,0))</f>
        <v>0</v>
      </c>
      <c r="T14" s="8">
        <f t="shared" ca="1" si="4"/>
        <v>0</v>
      </c>
      <c r="U14" s="8">
        <f t="shared" ca="1" si="37"/>
        <v>0</v>
      </c>
      <c r="W14" s="8">
        <f t="shared" ca="1" si="6"/>
        <v>1</v>
      </c>
      <c r="X14" s="8">
        <f t="shared" ca="1" si="38"/>
        <v>0</v>
      </c>
      <c r="Z14" s="8">
        <f t="shared" si="8"/>
        <v>1</v>
      </c>
      <c r="AA14" s="8">
        <f t="shared" si="39"/>
        <v>0</v>
      </c>
      <c r="AC14" s="8">
        <f t="shared" si="10"/>
        <v>0</v>
      </c>
      <c r="AD14" s="8">
        <f t="shared" si="40"/>
        <v>0</v>
      </c>
      <c r="AF14" s="8">
        <f t="shared" ca="1" si="41"/>
        <v>0</v>
      </c>
      <c r="AG14" s="8">
        <f t="shared" ca="1" si="42"/>
        <v>0</v>
      </c>
      <c r="AH14" s="8">
        <f t="shared" ca="1" si="43"/>
        <v>0</v>
      </c>
      <c r="AI14" s="8">
        <f t="shared" ca="1" si="44"/>
        <v>0</v>
      </c>
      <c r="AK14" s="11">
        <f t="shared" si="12"/>
        <v>1</v>
      </c>
      <c r="AL14" s="8"/>
      <c r="AN14" s="8"/>
      <c r="AO14" s="8"/>
      <c r="AP14" s="8">
        <f>IF(C14&lt;=$E$3,IF(OR('Front sheet'!$Q$3="",'Front sheet'!$Q$3=0),NA(),'Front sheet'!$Q$3),NA())</f>
        <v>0.9</v>
      </c>
      <c r="AQ14" s="8" t="e">
        <f t="shared" ca="1" si="45"/>
        <v>#N/A</v>
      </c>
      <c r="AR14" s="8" t="e">
        <f t="shared" ca="1" si="46"/>
        <v>#N/A</v>
      </c>
      <c r="AS14" s="8" t="e">
        <f t="shared" ca="1" si="47"/>
        <v>#N/A</v>
      </c>
      <c r="AT14" s="8" t="e">
        <f t="shared" ca="1" si="48"/>
        <v>#N/A</v>
      </c>
      <c r="AU14" s="8" t="e">
        <f t="shared" si="49"/>
        <v>#N/A</v>
      </c>
      <c r="AV14" s="8" t="e">
        <f t="shared" ca="1" si="50"/>
        <v>#N/A</v>
      </c>
      <c r="AX14" s="7">
        <f t="shared" si="13"/>
        <v>45600</v>
      </c>
      <c r="AY14" s="2">
        <f t="shared" si="14"/>
        <v>2</v>
      </c>
      <c r="BA14" s="2">
        <v>6</v>
      </c>
      <c r="BB14" t="str">
        <f t="shared" ca="1" si="15"/>
        <v/>
      </c>
      <c r="BC14" s="14">
        <f t="shared" si="16"/>
        <v>45600</v>
      </c>
      <c r="BD14" s="5" t="e">
        <f t="shared" si="17"/>
        <v>#N/A</v>
      </c>
      <c r="BE14" s="5" t="e">
        <f t="shared" si="18"/>
        <v>#N/A</v>
      </c>
      <c r="BF14" s="5" t="e">
        <f t="shared" si="19"/>
        <v>#N/A</v>
      </c>
      <c r="BG14" s="5" t="e">
        <f t="shared" si="20"/>
        <v>#N/A</v>
      </c>
      <c r="BH14" s="5" t="e">
        <f t="shared" si="21"/>
        <v>#N/A</v>
      </c>
      <c r="BI14" t="str">
        <f t="shared" ca="1" si="22"/>
        <v/>
      </c>
      <c r="BJ14" s="158" t="e">
        <f t="shared" si="23"/>
        <v>#N/A</v>
      </c>
      <c r="BK14" s="158" t="e">
        <f t="shared" si="24"/>
        <v>#N/A</v>
      </c>
      <c r="BL14" s="158" t="e">
        <f t="shared" si="25"/>
        <v>#N/A</v>
      </c>
      <c r="BM14" s="158" t="e">
        <f t="shared" si="26"/>
        <v>#N/A</v>
      </c>
      <c r="BN14" s="19"/>
      <c r="BQ14" s="4">
        <v>6</v>
      </c>
      <c r="BR14" s="4" t="e">
        <f t="shared" si="51"/>
        <v>#N/A</v>
      </c>
      <c r="BS14" s="4" t="e">
        <f t="shared" si="52"/>
        <v>#N/A</v>
      </c>
      <c r="BT14" s="4" t="e">
        <f t="shared" si="53"/>
        <v>#N/A</v>
      </c>
      <c r="BV14" s="4">
        <v>6</v>
      </c>
      <c r="BW14" s="4" t="e">
        <f t="shared" si="54"/>
        <v>#N/A</v>
      </c>
      <c r="BX14" s="4" t="e">
        <f t="shared" si="55"/>
        <v>#N/A</v>
      </c>
      <c r="BZ14" s="4">
        <v>6</v>
      </c>
      <c r="CA14" s="4" t="e">
        <f t="shared" si="56"/>
        <v>#N/A</v>
      </c>
      <c r="CB14" s="4" t="e">
        <f t="shared" si="57"/>
        <v>#N/A</v>
      </c>
      <c r="CC14" s="4" t="e">
        <f t="shared" si="58"/>
        <v>#N/A</v>
      </c>
      <c r="CD14" s="4" t="e">
        <f t="shared" si="59"/>
        <v>#N/A</v>
      </c>
      <c r="CG14" s="4">
        <v>6</v>
      </c>
      <c r="CH14" s="4" t="e">
        <f t="shared" si="27"/>
        <v>#N/A</v>
      </c>
      <c r="CI14" s="4" t="e">
        <f t="shared" si="28"/>
        <v>#N/A</v>
      </c>
      <c r="CJ14" s="4" t="e">
        <f t="shared" si="29"/>
        <v>#N/A</v>
      </c>
      <c r="CL14">
        <f t="shared" si="30"/>
        <v>0.86250000000000004</v>
      </c>
      <c r="CM14">
        <f t="shared" si="31"/>
        <v>1</v>
      </c>
    </row>
    <row r="15" spans="2:91" ht="15.75" thickBot="1" x14ac:dyDescent="0.3">
      <c r="B15">
        <f t="shared" si="32"/>
        <v>7</v>
      </c>
      <c r="C15" s="13">
        <v>7</v>
      </c>
      <c r="D15" s="147">
        <f>IF('Front sheet'!$C16="","",'Front sheet'!$C16)</f>
        <v>45607</v>
      </c>
      <c r="E15" s="152">
        <f>IF('Front sheet'!E16="",NA(),'Front sheet'!E16)</f>
        <v>60</v>
      </c>
      <c r="F15" s="197">
        <f>IF('Front sheet'!D16="",NA(),'Front sheet'!D16/'Front sheet'!E16)</f>
        <v>0.81666666666666665</v>
      </c>
      <c r="G15" s="207">
        <f t="shared" ca="1" si="0"/>
        <v>0.87525423728813556</v>
      </c>
      <c r="H15" s="202">
        <f t="shared" ca="1" si="33"/>
        <v>1.0032293856943593</v>
      </c>
      <c r="I15" s="193">
        <f t="shared" ca="1" si="34"/>
        <v>0.74727908888191197</v>
      </c>
      <c r="J15" s="153">
        <f>IF('Front sheet'!E16="",NA(),'Front sheet'!D16)</f>
        <v>49</v>
      </c>
      <c r="K15" s="10">
        <f t="shared" si="1"/>
        <v>45607</v>
      </c>
      <c r="L15" s="9">
        <f t="shared" ca="1" si="35"/>
        <v>4.2658382802074526E-2</v>
      </c>
      <c r="M15" s="8">
        <f t="shared" ca="1" si="2"/>
        <v>0.12797514840622359</v>
      </c>
      <c r="N15">
        <f t="shared" ca="1" si="36"/>
        <v>-1.3734128387684619</v>
      </c>
      <c r="O15" s="8">
        <f t="shared" ca="1" si="60"/>
        <v>1.0281741378182092</v>
      </c>
      <c r="P15">
        <f t="shared" ca="1" si="3"/>
        <v>0.18644399207535969</v>
      </c>
      <c r="Q15" s="8">
        <f ca="1">IF(ISERROR($F15),0,IF($F15&gt;$H15,MAX($Q$8:Q14)+1,0))</f>
        <v>0</v>
      </c>
      <c r="R15" s="8">
        <f ca="1">IF(ISERROR($F15),0,IF($F15&lt;$I15,MAX($R$8:R14)+1,0))</f>
        <v>0</v>
      </c>
      <c r="T15" s="8">
        <f t="shared" ca="1" si="4"/>
        <v>0</v>
      </c>
      <c r="U15" s="8">
        <f t="shared" ca="1" si="37"/>
        <v>0</v>
      </c>
      <c r="W15" s="8">
        <f t="shared" ca="1" si="6"/>
        <v>1</v>
      </c>
      <c r="X15" s="8">
        <f t="shared" ca="1" si="38"/>
        <v>0</v>
      </c>
      <c r="Z15" s="8">
        <f t="shared" si="8"/>
        <v>0</v>
      </c>
      <c r="AA15" s="8">
        <f t="shared" si="39"/>
        <v>0</v>
      </c>
      <c r="AC15" s="8">
        <f t="shared" si="10"/>
        <v>1</v>
      </c>
      <c r="AD15" s="8">
        <f t="shared" si="40"/>
        <v>0</v>
      </c>
      <c r="AF15" s="8">
        <f t="shared" ca="1" si="41"/>
        <v>0</v>
      </c>
      <c r="AG15" s="8">
        <f t="shared" ca="1" si="42"/>
        <v>0</v>
      </c>
      <c r="AH15" s="8">
        <f t="shared" ca="1" si="43"/>
        <v>0</v>
      </c>
      <c r="AI15" s="8">
        <f t="shared" ca="1" si="44"/>
        <v>0</v>
      </c>
      <c r="AK15" s="11">
        <f t="shared" si="12"/>
        <v>1</v>
      </c>
      <c r="AL15" s="8"/>
      <c r="AN15" s="8"/>
      <c r="AO15" s="8"/>
      <c r="AP15" s="8">
        <f>IF(C15&lt;=$E$3,IF(OR('Front sheet'!$Q$3="",'Front sheet'!$Q$3=0),NA(),'Front sheet'!$Q$3),NA())</f>
        <v>0.9</v>
      </c>
      <c r="AQ15" s="8" t="e">
        <f t="shared" ca="1" si="45"/>
        <v>#N/A</v>
      </c>
      <c r="AR15" s="8" t="e">
        <f t="shared" ca="1" si="46"/>
        <v>#N/A</v>
      </c>
      <c r="AS15" s="8" t="e">
        <f t="shared" ca="1" si="47"/>
        <v>#N/A</v>
      </c>
      <c r="AT15" s="8" t="e">
        <f t="shared" ca="1" si="48"/>
        <v>#N/A</v>
      </c>
      <c r="AU15" s="8" t="e">
        <f t="shared" si="49"/>
        <v>#N/A</v>
      </c>
      <c r="AV15" s="8" t="e">
        <f t="shared" ca="1" si="50"/>
        <v>#N/A</v>
      </c>
      <c r="AX15" s="7">
        <f t="shared" si="13"/>
        <v>45607</v>
      </c>
      <c r="AY15" s="2">
        <f t="shared" si="14"/>
        <v>2</v>
      </c>
      <c r="BA15" s="2">
        <v>7</v>
      </c>
      <c r="BB15" t="str">
        <f t="shared" ca="1" si="15"/>
        <v/>
      </c>
      <c r="BC15" s="14">
        <f t="shared" si="16"/>
        <v>45607</v>
      </c>
      <c r="BD15" s="5" t="e">
        <f t="shared" si="17"/>
        <v>#N/A</v>
      </c>
      <c r="BE15" s="5" t="e">
        <f t="shared" si="18"/>
        <v>#N/A</v>
      </c>
      <c r="BF15" s="5" t="e">
        <f t="shared" si="19"/>
        <v>#N/A</v>
      </c>
      <c r="BG15" s="5" t="e">
        <f t="shared" si="20"/>
        <v>#N/A</v>
      </c>
      <c r="BH15" s="5" t="e">
        <f t="shared" si="21"/>
        <v>#N/A</v>
      </c>
      <c r="BI15" t="str">
        <f t="shared" ca="1" si="22"/>
        <v/>
      </c>
      <c r="BJ15" s="158" t="e">
        <f t="shared" si="23"/>
        <v>#N/A</v>
      </c>
      <c r="BK15" s="158" t="e">
        <f t="shared" si="24"/>
        <v>#N/A</v>
      </c>
      <c r="BL15" s="158" t="e">
        <f t="shared" si="25"/>
        <v>#N/A</v>
      </c>
      <c r="BM15" s="158" t="e">
        <f t="shared" si="26"/>
        <v>#N/A</v>
      </c>
      <c r="BN15" s="19"/>
      <c r="BQ15" s="4">
        <v>7</v>
      </c>
      <c r="BR15" s="4" t="e">
        <f t="shared" si="51"/>
        <v>#N/A</v>
      </c>
      <c r="BS15" s="4" t="e">
        <f t="shared" si="52"/>
        <v>#N/A</v>
      </c>
      <c r="BT15" s="4" t="e">
        <f t="shared" si="53"/>
        <v>#N/A</v>
      </c>
      <c r="BV15" s="4">
        <v>7</v>
      </c>
      <c r="BW15" s="4" t="e">
        <f t="shared" si="54"/>
        <v>#N/A</v>
      </c>
      <c r="BX15" s="4" t="e">
        <f t="shared" si="55"/>
        <v>#N/A</v>
      </c>
      <c r="BZ15" s="4">
        <v>7</v>
      </c>
      <c r="CA15" s="4" t="e">
        <f t="shared" si="56"/>
        <v>#N/A</v>
      </c>
      <c r="CB15" s="4" t="e">
        <f t="shared" si="57"/>
        <v>#N/A</v>
      </c>
      <c r="CC15" s="4" t="e">
        <f t="shared" si="58"/>
        <v>#N/A</v>
      </c>
      <c r="CD15" s="4" t="e">
        <f t="shared" si="59"/>
        <v>#N/A</v>
      </c>
      <c r="CG15" s="4">
        <v>7</v>
      </c>
      <c r="CH15" s="4" t="e">
        <f t="shared" si="27"/>
        <v>#N/A</v>
      </c>
      <c r="CI15" s="4" t="e">
        <f t="shared" si="28"/>
        <v>#N/A</v>
      </c>
      <c r="CJ15" s="4" t="e">
        <f t="shared" si="29"/>
        <v>#N/A</v>
      </c>
      <c r="CL15">
        <f t="shared" si="30"/>
        <v>0.81666666666666665</v>
      </c>
      <c r="CM15">
        <f t="shared" si="31"/>
        <v>1</v>
      </c>
    </row>
    <row r="16" spans="2:91" ht="15.75" thickBot="1" x14ac:dyDescent="0.3">
      <c r="B16">
        <f t="shared" si="32"/>
        <v>8</v>
      </c>
      <c r="C16" s="18">
        <v>8</v>
      </c>
      <c r="D16" s="154">
        <f>IF('Front sheet'!$C17="","",'Front sheet'!$C17)</f>
        <v>45614</v>
      </c>
      <c r="E16" s="149">
        <f>IF('Front sheet'!E17="",NA(),'Front sheet'!E17)</f>
        <v>63</v>
      </c>
      <c r="F16" s="198">
        <f>IF('Front sheet'!D17="",NA(),'Front sheet'!D17/'Front sheet'!E17)</f>
        <v>0.8571428571428571</v>
      </c>
      <c r="G16" s="205">
        <f t="shared" ca="1" si="0"/>
        <v>0.87525423728813556</v>
      </c>
      <c r="H16" s="203">
        <f t="shared" ca="1" si="33"/>
        <v>1.0001451939533685</v>
      </c>
      <c r="I16" s="183">
        <f t="shared" ca="1" si="34"/>
        <v>0.75036328062290258</v>
      </c>
      <c r="J16" s="184">
        <f>IF('Front sheet'!E17="",NA(),'Front sheet'!D17)</f>
        <v>54</v>
      </c>
      <c r="K16" s="10">
        <f t="shared" si="1"/>
        <v>45614</v>
      </c>
      <c r="L16" s="9">
        <f t="shared" ca="1" si="35"/>
        <v>4.1630318888410983E-2</v>
      </c>
      <c r="M16" s="8">
        <f t="shared" ca="1" si="2"/>
        <v>0.12489095666523295</v>
      </c>
      <c r="N16">
        <f t="shared" ca="1" si="36"/>
        <v>-0.43505264021218676</v>
      </c>
      <c r="O16" s="8">
        <f t="shared" ca="1" si="60"/>
        <v>0.93836019855627506</v>
      </c>
      <c r="P16">
        <f t="shared" ca="1" si="3"/>
        <v>0.18195070546715927</v>
      </c>
      <c r="Q16" s="8">
        <f ca="1">IF(ISERROR($F16),0,IF($F16&gt;$H16,MAX($Q$8:Q15)+1,0))</f>
        <v>0</v>
      </c>
      <c r="R16" s="8">
        <f ca="1">IF(ISERROR($F16),0,IF($F16&lt;$I16,MAX($R$8:R15)+1,0))</f>
        <v>0</v>
      </c>
      <c r="T16" s="8">
        <f t="shared" ca="1" si="4"/>
        <v>0</v>
      </c>
      <c r="U16" s="8">
        <f t="shared" ca="1" si="37"/>
        <v>0</v>
      </c>
      <c r="W16" s="8">
        <f t="shared" ca="1" si="6"/>
        <v>1</v>
      </c>
      <c r="X16" s="8">
        <f t="shared" ca="1" si="38"/>
        <v>0</v>
      </c>
      <c r="Z16" s="8">
        <f t="shared" si="8"/>
        <v>1</v>
      </c>
      <c r="AA16" s="8">
        <f t="shared" si="39"/>
        <v>0</v>
      </c>
      <c r="AC16" s="8">
        <f t="shared" si="10"/>
        <v>0</v>
      </c>
      <c r="AD16" s="8">
        <f t="shared" si="40"/>
        <v>0</v>
      </c>
      <c r="AF16" s="8">
        <f t="shared" ca="1" si="41"/>
        <v>0</v>
      </c>
      <c r="AG16" s="8">
        <f t="shared" ca="1" si="42"/>
        <v>0</v>
      </c>
      <c r="AH16" s="8">
        <f t="shared" ca="1" si="43"/>
        <v>0</v>
      </c>
      <c r="AI16" s="8">
        <f t="shared" ca="1" si="44"/>
        <v>0</v>
      </c>
      <c r="AK16" s="11">
        <f t="shared" si="12"/>
        <v>1</v>
      </c>
      <c r="AL16" s="8"/>
      <c r="AN16" s="8"/>
      <c r="AO16" s="8"/>
      <c r="AP16" s="8">
        <f>IF(C16&lt;=$E$3,IF(OR('Front sheet'!$Q$3="",'Front sheet'!$Q$3=0),NA(),'Front sheet'!$Q$3),NA())</f>
        <v>0.9</v>
      </c>
      <c r="AQ16" s="8" t="e">
        <f t="shared" ca="1" si="45"/>
        <v>#N/A</v>
      </c>
      <c r="AR16" s="8" t="e">
        <f t="shared" ca="1" si="46"/>
        <v>#N/A</v>
      </c>
      <c r="AS16" s="8" t="e">
        <f t="shared" ca="1" si="47"/>
        <v>#N/A</v>
      </c>
      <c r="AT16" s="8" t="e">
        <f t="shared" ca="1" si="48"/>
        <v>#N/A</v>
      </c>
      <c r="AU16" s="8" t="e">
        <f t="shared" si="49"/>
        <v>#N/A</v>
      </c>
      <c r="AV16" s="8" t="e">
        <f t="shared" ca="1" si="50"/>
        <v>#N/A</v>
      </c>
      <c r="AX16" s="7">
        <f t="shared" si="13"/>
        <v>45614</v>
      </c>
      <c r="AY16" s="2">
        <f t="shared" si="14"/>
        <v>2</v>
      </c>
      <c r="BA16" s="2">
        <v>8</v>
      </c>
      <c r="BB16" t="str">
        <f t="shared" ca="1" si="15"/>
        <v/>
      </c>
      <c r="BC16" s="14">
        <f t="shared" si="16"/>
        <v>45614</v>
      </c>
      <c r="BD16" s="5" t="e">
        <f t="shared" si="17"/>
        <v>#N/A</v>
      </c>
      <c r="BE16" s="5" t="e">
        <f t="shared" si="18"/>
        <v>#N/A</v>
      </c>
      <c r="BF16" s="5" t="e">
        <f t="shared" si="19"/>
        <v>#N/A</v>
      </c>
      <c r="BG16" s="5" t="e">
        <f t="shared" si="20"/>
        <v>#N/A</v>
      </c>
      <c r="BH16" s="5" t="e">
        <f t="shared" si="21"/>
        <v>#N/A</v>
      </c>
      <c r="BI16" t="str">
        <f t="shared" ca="1" si="22"/>
        <v/>
      </c>
      <c r="BJ16" s="158" t="e">
        <f t="shared" si="23"/>
        <v>#N/A</v>
      </c>
      <c r="BK16" s="158" t="e">
        <f t="shared" si="24"/>
        <v>#N/A</v>
      </c>
      <c r="BL16" s="158" t="e">
        <f t="shared" si="25"/>
        <v>#N/A</v>
      </c>
      <c r="BM16" s="158" t="e">
        <f t="shared" si="26"/>
        <v>#N/A</v>
      </c>
      <c r="BN16" s="19"/>
      <c r="BQ16" s="4">
        <v>8</v>
      </c>
      <c r="BR16" s="4" t="e">
        <f t="shared" si="51"/>
        <v>#N/A</v>
      </c>
      <c r="BS16" s="4" t="e">
        <f t="shared" si="52"/>
        <v>#N/A</v>
      </c>
      <c r="BT16" s="4" t="e">
        <f t="shared" si="53"/>
        <v>#N/A</v>
      </c>
      <c r="BV16" s="4">
        <v>8</v>
      </c>
      <c r="BW16" s="4" t="e">
        <f t="shared" si="54"/>
        <v>#N/A</v>
      </c>
      <c r="BX16" s="4" t="e">
        <f t="shared" si="55"/>
        <v>#N/A</v>
      </c>
      <c r="BZ16" s="4">
        <v>8</v>
      </c>
      <c r="CA16" s="4" t="e">
        <f t="shared" si="56"/>
        <v>#N/A</v>
      </c>
      <c r="CB16" s="4" t="e">
        <f t="shared" si="57"/>
        <v>#N/A</v>
      </c>
      <c r="CC16" s="4" t="e">
        <f t="shared" si="58"/>
        <v>#N/A</v>
      </c>
      <c r="CD16" s="4" t="e">
        <f t="shared" si="59"/>
        <v>#N/A</v>
      </c>
      <c r="CG16" s="4">
        <v>8</v>
      </c>
      <c r="CH16" s="4" t="e">
        <f t="shared" si="27"/>
        <v>#N/A</v>
      </c>
      <c r="CI16" s="4" t="e">
        <f t="shared" si="28"/>
        <v>#N/A</v>
      </c>
      <c r="CJ16" s="4" t="e">
        <f t="shared" si="29"/>
        <v>#N/A</v>
      </c>
      <c r="CL16">
        <f t="shared" si="30"/>
        <v>0.8571428571428571</v>
      </c>
      <c r="CM16">
        <f t="shared" si="31"/>
        <v>1</v>
      </c>
    </row>
    <row r="17" spans="2:91" ht="15.75" thickBot="1" x14ac:dyDescent="0.3">
      <c r="B17">
        <f t="shared" si="32"/>
        <v>9</v>
      </c>
      <c r="C17" s="16">
        <v>9</v>
      </c>
      <c r="D17" s="146">
        <f>IF('Front sheet'!$C18="","",'Front sheet'!$C18)</f>
        <v>45621</v>
      </c>
      <c r="E17" s="148">
        <f>IF('Front sheet'!E18="",NA(),'Front sheet'!E18)</f>
        <v>64</v>
      </c>
      <c r="F17" s="196">
        <f>IF('Front sheet'!D18="",NA(),'Front sheet'!D18/'Front sheet'!E18)</f>
        <v>0.859375</v>
      </c>
      <c r="G17" s="205">
        <f t="shared" ca="1" si="0"/>
        <v>0.87525423728813556</v>
      </c>
      <c r="H17" s="201">
        <f t="shared" ca="1" si="33"/>
        <v>0.99916564191456714</v>
      </c>
      <c r="I17" s="157">
        <f t="shared" ca="1" si="34"/>
        <v>0.75134283266170399</v>
      </c>
      <c r="J17" s="151">
        <f>IF('Front sheet'!E18="",NA(),'Front sheet'!D18)</f>
        <v>55</v>
      </c>
      <c r="K17" s="10">
        <f t="shared" si="1"/>
        <v>45621</v>
      </c>
      <c r="L17" s="9">
        <f t="shared" ca="1" si="35"/>
        <v>4.1303801542143879E-2</v>
      </c>
      <c r="M17" s="8">
        <f t="shared" ca="1" si="2"/>
        <v>0.12391140462643163</v>
      </c>
      <c r="N17">
        <f t="shared" ca="1" si="36"/>
        <v>-0.38444977690330406</v>
      </c>
      <c r="O17" s="8">
        <f t="shared" ca="1" si="60"/>
        <v>5.0602863308882695E-2</v>
      </c>
      <c r="P17">
        <f t="shared" ca="1" si="3"/>
        <v>0.18052361907707393</v>
      </c>
      <c r="Q17" s="8">
        <f ca="1">IF(ISERROR($F17),0,IF($F17&gt;$H17,MAX($Q$8:Q16)+1,0))</f>
        <v>0</v>
      </c>
      <c r="R17" s="8">
        <f ca="1">IF(ISERROR($F17),0,IF($F17&lt;$I17,MAX($R$8:R16)+1,0))</f>
        <v>0</v>
      </c>
      <c r="T17" s="8">
        <f t="shared" ca="1" si="4"/>
        <v>0</v>
      </c>
      <c r="U17" s="8">
        <f t="shared" ca="1" si="37"/>
        <v>0</v>
      </c>
      <c r="W17" s="8">
        <f t="shared" ca="1" si="6"/>
        <v>1</v>
      </c>
      <c r="X17" s="8">
        <f t="shared" ca="1" si="38"/>
        <v>0</v>
      </c>
      <c r="Z17" s="8">
        <f t="shared" si="8"/>
        <v>1</v>
      </c>
      <c r="AA17" s="8">
        <f t="shared" si="39"/>
        <v>0</v>
      </c>
      <c r="AC17" s="8">
        <f t="shared" si="10"/>
        <v>0</v>
      </c>
      <c r="AD17" s="8">
        <f t="shared" si="40"/>
        <v>0</v>
      </c>
      <c r="AF17" s="8">
        <f t="shared" ca="1" si="41"/>
        <v>0</v>
      </c>
      <c r="AG17" s="8">
        <f t="shared" ca="1" si="42"/>
        <v>0</v>
      </c>
      <c r="AH17" s="8">
        <f t="shared" ca="1" si="43"/>
        <v>0</v>
      </c>
      <c r="AI17" s="8">
        <f t="shared" ca="1" si="44"/>
        <v>0</v>
      </c>
      <c r="AK17" s="11">
        <f t="shared" si="12"/>
        <v>1</v>
      </c>
      <c r="AL17" s="8"/>
      <c r="AN17" s="8"/>
      <c r="AO17" s="8"/>
      <c r="AP17" s="8">
        <f>IF(C17&lt;=$E$3,IF(OR('Front sheet'!$Q$3="",'Front sheet'!$Q$3=0),NA(),'Front sheet'!$Q$3),NA())</f>
        <v>0.9</v>
      </c>
      <c r="AQ17" s="8" t="e">
        <f t="shared" ca="1" si="45"/>
        <v>#N/A</v>
      </c>
      <c r="AR17" s="8" t="e">
        <f t="shared" ca="1" si="46"/>
        <v>#N/A</v>
      </c>
      <c r="AS17" s="8" t="e">
        <f t="shared" ca="1" si="47"/>
        <v>#N/A</v>
      </c>
      <c r="AT17" s="8" t="e">
        <f t="shared" ca="1" si="48"/>
        <v>#N/A</v>
      </c>
      <c r="AU17" s="8" t="e">
        <f t="shared" si="49"/>
        <v>#N/A</v>
      </c>
      <c r="AV17" s="8" t="e">
        <f t="shared" ca="1" si="50"/>
        <v>#N/A</v>
      </c>
      <c r="AX17" s="7">
        <f t="shared" si="13"/>
        <v>45621</v>
      </c>
      <c r="AY17" s="2">
        <f t="shared" si="14"/>
        <v>2</v>
      </c>
      <c r="BA17" s="2">
        <v>9</v>
      </c>
      <c r="BB17" t="str">
        <f t="shared" ca="1" si="15"/>
        <v/>
      </c>
      <c r="BC17" s="14">
        <f t="shared" si="16"/>
        <v>45621</v>
      </c>
      <c r="BD17" s="5" t="e">
        <f t="shared" si="17"/>
        <v>#N/A</v>
      </c>
      <c r="BE17" s="5" t="e">
        <f t="shared" si="18"/>
        <v>#N/A</v>
      </c>
      <c r="BF17" s="5" t="e">
        <f t="shared" si="19"/>
        <v>#N/A</v>
      </c>
      <c r="BG17" s="5" t="e">
        <f t="shared" si="20"/>
        <v>#N/A</v>
      </c>
      <c r="BH17" s="5" t="e">
        <f t="shared" si="21"/>
        <v>#N/A</v>
      </c>
      <c r="BI17" t="str">
        <f t="shared" ca="1" si="22"/>
        <v/>
      </c>
      <c r="BJ17" s="158" t="e">
        <f t="shared" si="23"/>
        <v>#N/A</v>
      </c>
      <c r="BK17" s="158" t="e">
        <f t="shared" si="24"/>
        <v>#N/A</v>
      </c>
      <c r="BL17" s="158" t="e">
        <f t="shared" si="25"/>
        <v>#N/A</v>
      </c>
      <c r="BM17" s="158" t="e">
        <f t="shared" si="26"/>
        <v>#N/A</v>
      </c>
      <c r="BN17" s="19"/>
      <c r="BQ17" s="4">
        <v>9</v>
      </c>
      <c r="BR17" s="4" t="e">
        <f t="shared" si="51"/>
        <v>#N/A</v>
      </c>
      <c r="BS17" s="4" t="e">
        <f t="shared" si="52"/>
        <v>#N/A</v>
      </c>
      <c r="BT17" s="4" t="e">
        <f t="shared" si="53"/>
        <v>#N/A</v>
      </c>
      <c r="BV17" s="4">
        <v>9</v>
      </c>
      <c r="BW17" s="4" t="e">
        <f t="shared" si="54"/>
        <v>#N/A</v>
      </c>
      <c r="BX17" s="4" t="e">
        <f t="shared" si="55"/>
        <v>#N/A</v>
      </c>
      <c r="BZ17" s="4">
        <v>9</v>
      </c>
      <c r="CA17" s="4" t="e">
        <f t="shared" si="56"/>
        <v>#N/A</v>
      </c>
      <c r="CB17" s="4" t="e">
        <f t="shared" si="57"/>
        <v>#N/A</v>
      </c>
      <c r="CC17" s="4" t="e">
        <f t="shared" si="58"/>
        <v>#N/A</v>
      </c>
      <c r="CD17" s="4" t="e">
        <f t="shared" si="59"/>
        <v>#N/A</v>
      </c>
      <c r="CG17" s="4">
        <v>9</v>
      </c>
      <c r="CH17" s="4" t="e">
        <f t="shared" si="27"/>
        <v>#N/A</v>
      </c>
      <c r="CI17" s="4" t="e">
        <f t="shared" si="28"/>
        <v>#N/A</v>
      </c>
      <c r="CJ17" s="4" t="e">
        <f t="shared" si="29"/>
        <v>#N/A</v>
      </c>
      <c r="CL17">
        <f t="shared" si="30"/>
        <v>0.859375</v>
      </c>
      <c r="CM17">
        <f t="shared" si="31"/>
        <v>1</v>
      </c>
    </row>
    <row r="18" spans="2:91" ht="15.75" thickBot="1" x14ac:dyDescent="0.3">
      <c r="B18">
        <f t="shared" si="32"/>
        <v>10</v>
      </c>
      <c r="C18" s="16">
        <v>10</v>
      </c>
      <c r="D18" s="146">
        <f>IF('Front sheet'!$C19="","",'Front sheet'!$C19)</f>
        <v>45628</v>
      </c>
      <c r="E18" s="148">
        <f>IF('Front sheet'!E19="",NA(),'Front sheet'!E19)</f>
        <v>78</v>
      </c>
      <c r="F18" s="196">
        <f>IF('Front sheet'!D19="",NA(),'Front sheet'!D19/'Front sheet'!E19)</f>
        <v>0.94871794871794868</v>
      </c>
      <c r="G18" s="205">
        <f t="shared" ca="1" si="0"/>
        <v>0.87525423728813556</v>
      </c>
      <c r="H18" s="201">
        <f t="shared" ca="1" si="33"/>
        <v>0.9874958674698211</v>
      </c>
      <c r="I18" s="157">
        <f t="shared" ca="1" si="34"/>
        <v>0.76301260710645002</v>
      </c>
      <c r="J18" s="151">
        <f>IF('Front sheet'!E19="",NA(),'Front sheet'!D19)</f>
        <v>74</v>
      </c>
      <c r="K18" s="10">
        <f t="shared" si="1"/>
        <v>45628</v>
      </c>
      <c r="L18" s="9">
        <f t="shared" ca="1" si="35"/>
        <v>3.7413876727228519E-2</v>
      </c>
      <c r="M18" s="8">
        <f t="shared" ca="1" si="2"/>
        <v>0.11224163018168556</v>
      </c>
      <c r="N18">
        <f t="shared" ca="1" si="36"/>
        <v>1.9635418153914208</v>
      </c>
      <c r="O18" s="8">
        <f t="shared" ca="1" si="60"/>
        <v>2.3479915922947248</v>
      </c>
      <c r="P18">
        <f t="shared" ca="1" si="3"/>
        <v>0.16352219840131041</v>
      </c>
      <c r="Q18" s="8">
        <f ca="1">IF(ISERROR($F18),0,IF($F18&gt;$H18,MAX($Q$8:Q17)+1,0))</f>
        <v>0</v>
      </c>
      <c r="R18" s="8">
        <f ca="1">IF(ISERROR($F18),0,IF($F18&lt;$I18,MAX($R$8:R17)+1,0))</f>
        <v>0</v>
      </c>
      <c r="T18" s="8">
        <f t="shared" ca="1" si="4"/>
        <v>1</v>
      </c>
      <c r="U18" s="8">
        <f t="shared" ca="1" si="37"/>
        <v>0</v>
      </c>
      <c r="W18" s="8">
        <f t="shared" ca="1" si="6"/>
        <v>0</v>
      </c>
      <c r="X18" s="8">
        <f t="shared" ca="1" si="38"/>
        <v>0</v>
      </c>
      <c r="Z18" s="8">
        <f t="shared" si="8"/>
        <v>1</v>
      </c>
      <c r="AA18" s="8">
        <f t="shared" si="39"/>
        <v>0</v>
      </c>
      <c r="AC18" s="8">
        <f t="shared" si="10"/>
        <v>0</v>
      </c>
      <c r="AD18" s="8">
        <f t="shared" si="40"/>
        <v>0</v>
      </c>
      <c r="AF18" s="8">
        <f t="shared" ca="1" si="41"/>
        <v>0</v>
      </c>
      <c r="AG18" s="8">
        <f t="shared" ca="1" si="42"/>
        <v>0</v>
      </c>
      <c r="AH18" s="8">
        <f t="shared" ca="1" si="43"/>
        <v>0</v>
      </c>
      <c r="AI18" s="8">
        <f t="shared" ca="1" si="44"/>
        <v>0</v>
      </c>
      <c r="AK18" s="11">
        <f t="shared" si="12"/>
        <v>1</v>
      </c>
      <c r="AL18" s="8"/>
      <c r="AN18" s="8"/>
      <c r="AO18" s="8"/>
      <c r="AP18" s="8">
        <f>IF(C18&lt;=$E$3,IF(OR('Front sheet'!$Q$3="",'Front sheet'!$Q$3=0),NA(),'Front sheet'!$Q$3),NA())</f>
        <v>0.9</v>
      </c>
      <c r="AQ18" s="8" t="e">
        <f t="shared" ca="1" si="45"/>
        <v>#N/A</v>
      </c>
      <c r="AR18" s="8" t="e">
        <f t="shared" ca="1" si="46"/>
        <v>#N/A</v>
      </c>
      <c r="AS18" s="8" t="e">
        <f t="shared" ca="1" si="47"/>
        <v>#N/A</v>
      </c>
      <c r="AT18" s="8" t="e">
        <f t="shared" ca="1" si="48"/>
        <v>#N/A</v>
      </c>
      <c r="AU18" s="8" t="e">
        <f t="shared" si="49"/>
        <v>#N/A</v>
      </c>
      <c r="AV18" s="8" t="e">
        <f t="shared" ca="1" si="50"/>
        <v>#N/A</v>
      </c>
      <c r="AX18" s="7">
        <f t="shared" si="13"/>
        <v>45628</v>
      </c>
      <c r="AY18" s="2">
        <f t="shared" si="14"/>
        <v>2</v>
      </c>
      <c r="BA18" s="2">
        <v>10</v>
      </c>
      <c r="BB18" t="str">
        <f t="shared" ca="1" si="15"/>
        <v/>
      </c>
      <c r="BC18" s="14">
        <f t="shared" si="16"/>
        <v>45628</v>
      </c>
      <c r="BD18" s="5" t="e">
        <f t="shared" si="17"/>
        <v>#N/A</v>
      </c>
      <c r="BE18" s="5" t="e">
        <f t="shared" si="18"/>
        <v>#N/A</v>
      </c>
      <c r="BF18" s="5" t="e">
        <f t="shared" si="19"/>
        <v>#N/A</v>
      </c>
      <c r="BG18" s="5" t="e">
        <f t="shared" si="20"/>
        <v>#N/A</v>
      </c>
      <c r="BH18" s="5" t="e">
        <f t="shared" si="21"/>
        <v>#N/A</v>
      </c>
      <c r="BI18" t="str">
        <f t="shared" ca="1" si="22"/>
        <v/>
      </c>
      <c r="BJ18" s="158" t="e">
        <f t="shared" si="23"/>
        <v>#N/A</v>
      </c>
      <c r="BK18" s="158" t="e">
        <f t="shared" si="24"/>
        <v>#N/A</v>
      </c>
      <c r="BL18" s="158" t="e">
        <f t="shared" si="25"/>
        <v>#N/A</v>
      </c>
      <c r="BM18" s="158" t="e">
        <f t="shared" si="26"/>
        <v>#N/A</v>
      </c>
      <c r="BN18" s="19"/>
      <c r="BQ18" s="4">
        <v>10</v>
      </c>
      <c r="BR18" s="4" t="e">
        <f t="shared" si="51"/>
        <v>#N/A</v>
      </c>
      <c r="BS18" s="4" t="e">
        <f t="shared" si="52"/>
        <v>#N/A</v>
      </c>
      <c r="BT18" s="4" t="e">
        <f t="shared" si="53"/>
        <v>#N/A</v>
      </c>
      <c r="BV18" s="4">
        <v>10</v>
      </c>
      <c r="BW18" s="4" t="e">
        <f t="shared" si="54"/>
        <v>#N/A</v>
      </c>
      <c r="BX18" s="4" t="e">
        <f t="shared" si="55"/>
        <v>#N/A</v>
      </c>
      <c r="BZ18" s="4">
        <v>10</v>
      </c>
      <c r="CA18" s="4" t="e">
        <f t="shared" si="56"/>
        <v>#N/A</v>
      </c>
      <c r="CB18" s="4" t="e">
        <f t="shared" si="57"/>
        <v>#N/A</v>
      </c>
      <c r="CC18" s="4" t="e">
        <f t="shared" si="58"/>
        <v>#N/A</v>
      </c>
      <c r="CD18" s="4" t="e">
        <f t="shared" si="59"/>
        <v>#N/A</v>
      </c>
      <c r="CG18" s="4">
        <v>10</v>
      </c>
      <c r="CH18" s="4" t="e">
        <f t="shared" si="27"/>
        <v>#N/A</v>
      </c>
      <c r="CI18" s="4" t="e">
        <f t="shared" si="28"/>
        <v>#N/A</v>
      </c>
      <c r="CJ18" s="4" t="e">
        <f t="shared" si="29"/>
        <v>#N/A</v>
      </c>
      <c r="CL18">
        <f t="shared" si="30"/>
        <v>0.94871794871794868</v>
      </c>
      <c r="CM18">
        <f t="shared" si="31"/>
        <v>1</v>
      </c>
    </row>
    <row r="19" spans="2:91" ht="15.75" thickBot="1" x14ac:dyDescent="0.3">
      <c r="B19">
        <f t="shared" si="32"/>
        <v>11</v>
      </c>
      <c r="C19" s="16">
        <v>11</v>
      </c>
      <c r="D19" s="146">
        <f>IF('Front sheet'!$C20="","",'Front sheet'!$C20)</f>
        <v>45635</v>
      </c>
      <c r="E19" s="148">
        <f>IF('Front sheet'!E20="",NA(),'Front sheet'!E20)</f>
        <v>67</v>
      </c>
      <c r="F19" s="196">
        <f>IF('Front sheet'!D20="",NA(),'Front sheet'!D20/'Front sheet'!E20)</f>
        <v>0.86567164179104472</v>
      </c>
      <c r="G19" s="205">
        <f t="shared" ca="1" si="0"/>
        <v>0.87525423728813556</v>
      </c>
      <c r="H19" s="201">
        <f t="shared" ca="1" si="33"/>
        <v>0.99635973690909929</v>
      </c>
      <c r="I19" s="157">
        <f t="shared" ca="1" si="34"/>
        <v>0.75414873766717183</v>
      </c>
      <c r="J19" s="151">
        <f>IF('Front sheet'!E20="",NA(),'Front sheet'!D20)</f>
        <v>58</v>
      </c>
      <c r="K19" s="10">
        <f t="shared" si="1"/>
        <v>45635</v>
      </c>
      <c r="L19" s="9">
        <f t="shared" ca="1" si="35"/>
        <v>4.0368499873654561E-2</v>
      </c>
      <c r="M19" s="8">
        <f t="shared" ca="1" si="2"/>
        <v>0.12110549962096367</v>
      </c>
      <c r="N19">
        <f t="shared" ca="1" si="36"/>
        <v>-0.23737804295632667</v>
      </c>
      <c r="O19" s="8">
        <f t="shared" ca="1" si="60"/>
        <v>2.2009198583477474</v>
      </c>
      <c r="P19">
        <f t="shared" ca="1" si="3"/>
        <v>0.17643576188668336</v>
      </c>
      <c r="Q19" s="8">
        <f ca="1">IF(ISERROR($F19),0,IF($F19&gt;$H19,MAX($Q$8:Q18)+1,0))</f>
        <v>0</v>
      </c>
      <c r="R19" s="8">
        <f ca="1">IF(ISERROR($F19),0,IF($F19&lt;$I19,MAX($R$8:R18)+1,0))</f>
        <v>0</v>
      </c>
      <c r="T19" s="8">
        <f t="shared" ca="1" si="4"/>
        <v>0</v>
      </c>
      <c r="U19" s="8">
        <f t="shared" ca="1" si="37"/>
        <v>0</v>
      </c>
      <c r="W19" s="8">
        <f t="shared" ca="1" si="6"/>
        <v>1</v>
      </c>
      <c r="X19" s="8">
        <f t="shared" ca="1" si="38"/>
        <v>0</v>
      </c>
      <c r="Z19" s="8">
        <f t="shared" si="8"/>
        <v>0</v>
      </c>
      <c r="AA19" s="8">
        <f t="shared" si="39"/>
        <v>0</v>
      </c>
      <c r="AC19" s="8">
        <f t="shared" si="10"/>
        <v>1</v>
      </c>
      <c r="AD19" s="8">
        <f t="shared" si="40"/>
        <v>0</v>
      </c>
      <c r="AF19" s="8">
        <f t="shared" ca="1" si="41"/>
        <v>0</v>
      </c>
      <c r="AG19" s="8">
        <f t="shared" ca="1" si="42"/>
        <v>0</v>
      </c>
      <c r="AH19" s="8">
        <f t="shared" ca="1" si="43"/>
        <v>0</v>
      </c>
      <c r="AI19" s="8">
        <f t="shared" ca="1" si="44"/>
        <v>0</v>
      </c>
      <c r="AK19" s="11">
        <f t="shared" si="12"/>
        <v>1</v>
      </c>
      <c r="AL19" s="8"/>
      <c r="AN19" s="8"/>
      <c r="AO19" s="8"/>
      <c r="AP19" s="8">
        <f>IF(C19&lt;=$E$3,IF(OR('Front sheet'!$Q$3="",'Front sheet'!$Q$3=0),NA(),'Front sheet'!$Q$3),NA())</f>
        <v>0.9</v>
      </c>
      <c r="AQ19" s="8" t="e">
        <f t="shared" ca="1" si="45"/>
        <v>#N/A</v>
      </c>
      <c r="AR19" s="8" t="e">
        <f t="shared" ca="1" si="46"/>
        <v>#N/A</v>
      </c>
      <c r="AS19" s="8" t="e">
        <f t="shared" ca="1" si="47"/>
        <v>#N/A</v>
      </c>
      <c r="AT19" s="8" t="e">
        <f t="shared" ca="1" si="48"/>
        <v>#N/A</v>
      </c>
      <c r="AU19" s="8" t="e">
        <f t="shared" si="49"/>
        <v>#N/A</v>
      </c>
      <c r="AV19" s="8" t="e">
        <f t="shared" ca="1" si="50"/>
        <v>#N/A</v>
      </c>
      <c r="AX19" s="7">
        <f t="shared" si="13"/>
        <v>45635</v>
      </c>
      <c r="AY19" s="2">
        <f t="shared" si="14"/>
        <v>2</v>
      </c>
      <c r="BA19" s="2">
        <v>11</v>
      </c>
      <c r="BB19" t="str">
        <f t="shared" ca="1" si="15"/>
        <v/>
      </c>
      <c r="BC19" s="14">
        <f t="shared" si="16"/>
        <v>45635</v>
      </c>
      <c r="BD19" s="5" t="e">
        <f t="shared" si="17"/>
        <v>#N/A</v>
      </c>
      <c r="BE19" s="5" t="e">
        <f t="shared" si="18"/>
        <v>#N/A</v>
      </c>
      <c r="BF19" s="5" t="e">
        <f t="shared" si="19"/>
        <v>#N/A</v>
      </c>
      <c r="BG19" s="5" t="e">
        <f t="shared" si="20"/>
        <v>#N/A</v>
      </c>
      <c r="BH19" s="5" t="e">
        <f t="shared" si="21"/>
        <v>#N/A</v>
      </c>
      <c r="BI19" t="str">
        <f t="shared" ca="1" si="22"/>
        <v/>
      </c>
      <c r="BJ19" s="158" t="e">
        <f t="shared" si="23"/>
        <v>#N/A</v>
      </c>
      <c r="BK19" s="158" t="e">
        <f t="shared" si="24"/>
        <v>#N/A</v>
      </c>
      <c r="BL19" s="158" t="e">
        <f t="shared" si="25"/>
        <v>#N/A</v>
      </c>
      <c r="BM19" s="158" t="e">
        <f t="shared" si="26"/>
        <v>#N/A</v>
      </c>
      <c r="BN19" s="19"/>
      <c r="BQ19" s="4">
        <v>11</v>
      </c>
      <c r="BR19" s="4" t="e">
        <f t="shared" si="51"/>
        <v>#N/A</v>
      </c>
      <c r="BS19" s="4" t="e">
        <f t="shared" si="52"/>
        <v>#N/A</v>
      </c>
      <c r="BT19" s="4" t="e">
        <f t="shared" si="53"/>
        <v>#N/A</v>
      </c>
      <c r="BV19" s="4">
        <v>11</v>
      </c>
      <c r="BW19" s="4" t="e">
        <f t="shared" si="54"/>
        <v>#N/A</v>
      </c>
      <c r="BX19" s="4" t="e">
        <f t="shared" si="55"/>
        <v>#N/A</v>
      </c>
      <c r="BZ19" s="4">
        <v>11</v>
      </c>
      <c r="CA19" s="4" t="e">
        <f t="shared" si="56"/>
        <v>#N/A</v>
      </c>
      <c r="CB19" s="4" t="e">
        <f t="shared" si="57"/>
        <v>#N/A</v>
      </c>
      <c r="CC19" s="4" t="e">
        <f t="shared" si="58"/>
        <v>#N/A</v>
      </c>
      <c r="CD19" s="4" t="e">
        <f t="shared" si="59"/>
        <v>#N/A</v>
      </c>
      <c r="CG19" s="4">
        <v>11</v>
      </c>
      <c r="CH19" s="4" t="e">
        <f t="shared" si="27"/>
        <v>#N/A</v>
      </c>
      <c r="CI19" s="4" t="e">
        <f t="shared" si="28"/>
        <v>#N/A</v>
      </c>
      <c r="CJ19" s="4" t="e">
        <f t="shared" si="29"/>
        <v>#N/A</v>
      </c>
      <c r="CL19">
        <f t="shared" si="30"/>
        <v>0.86567164179104472</v>
      </c>
      <c r="CM19">
        <f t="shared" si="31"/>
        <v>1</v>
      </c>
    </row>
    <row r="20" spans="2:91" ht="15.75" thickBot="1" x14ac:dyDescent="0.3">
      <c r="B20">
        <f t="shared" si="32"/>
        <v>12</v>
      </c>
      <c r="C20" s="16">
        <v>12</v>
      </c>
      <c r="D20" s="146">
        <f>IF('Front sheet'!$C21="","",'Front sheet'!$C21)</f>
        <v>45642</v>
      </c>
      <c r="E20" s="148">
        <f>IF('Front sheet'!E21="",NA(),'Front sheet'!E21)</f>
        <v>65</v>
      </c>
      <c r="F20" s="196">
        <f>IF('Front sheet'!D21="",NA(),'Front sheet'!D21/'Front sheet'!E21)</f>
        <v>0.81538461538461537</v>
      </c>
      <c r="G20" s="205">
        <f t="shared" ca="1" si="0"/>
        <v>0.87525423728813556</v>
      </c>
      <c r="H20" s="201">
        <f t="shared" ca="1" si="33"/>
        <v>0.9982087827714593</v>
      </c>
      <c r="I20" s="157">
        <f t="shared" ca="1" si="34"/>
        <v>0.75229969180481182</v>
      </c>
      <c r="J20" s="151">
        <f>IF('Front sheet'!E21="",NA(),'Front sheet'!D21)</f>
        <v>53</v>
      </c>
      <c r="K20" s="10">
        <f t="shared" si="1"/>
        <v>45642</v>
      </c>
      <c r="L20" s="9">
        <f t="shared" ca="1" si="35"/>
        <v>4.0984848494441235E-2</v>
      </c>
      <c r="M20" s="8">
        <f t="shared" ca="1" si="2"/>
        <v>0.12295454548332371</v>
      </c>
      <c r="N20">
        <f t="shared" ca="1" si="36"/>
        <v>-1.4607745082097909</v>
      </c>
      <c r="O20" s="8">
        <f t="shared" ca="1" si="60"/>
        <v>1.2233964652534643</v>
      </c>
      <c r="P20">
        <f t="shared" ca="1" si="3"/>
        <v>0.17912959343446583</v>
      </c>
      <c r="Q20" s="8">
        <f ca="1">IF(ISERROR($F20),0,IF($F20&gt;$H20,MAX($Q$8:Q19)+1,0))</f>
        <v>0</v>
      </c>
      <c r="R20" s="8">
        <f ca="1">IF(ISERROR($F20),0,IF($F20&lt;$I20,MAX($R$8:R19)+1,0))</f>
        <v>0</v>
      </c>
      <c r="T20" s="8">
        <f t="shared" ca="1" si="4"/>
        <v>0</v>
      </c>
      <c r="U20" s="8">
        <f t="shared" ca="1" si="37"/>
        <v>0</v>
      </c>
      <c r="W20" s="8">
        <f t="shared" ca="1" si="6"/>
        <v>1</v>
      </c>
      <c r="X20" s="8">
        <f t="shared" ca="1" si="38"/>
        <v>0</v>
      </c>
      <c r="Z20" s="8">
        <f t="shared" si="8"/>
        <v>0</v>
      </c>
      <c r="AA20" s="8">
        <f t="shared" si="39"/>
        <v>0</v>
      </c>
      <c r="AC20" s="8">
        <f t="shared" si="10"/>
        <v>1</v>
      </c>
      <c r="AD20" s="8">
        <f t="shared" si="40"/>
        <v>0</v>
      </c>
      <c r="AF20" s="8">
        <f t="shared" ca="1" si="41"/>
        <v>0</v>
      </c>
      <c r="AG20" s="8">
        <f t="shared" ca="1" si="42"/>
        <v>0</v>
      </c>
      <c r="AH20" s="8">
        <f t="shared" ca="1" si="43"/>
        <v>0</v>
      </c>
      <c r="AI20" s="8">
        <f t="shared" ca="1" si="44"/>
        <v>0</v>
      </c>
      <c r="AK20" s="11">
        <f t="shared" si="12"/>
        <v>1</v>
      </c>
      <c r="AL20" s="8"/>
      <c r="AN20" s="8"/>
      <c r="AO20" s="8"/>
      <c r="AP20" s="8">
        <f>IF(C20&lt;=$E$3,IF(OR('Front sheet'!$Q$3="",'Front sheet'!$Q$3=0),NA(),'Front sheet'!$Q$3),NA())</f>
        <v>0.9</v>
      </c>
      <c r="AQ20" s="8" t="e">
        <f t="shared" ca="1" si="45"/>
        <v>#N/A</v>
      </c>
      <c r="AR20" s="8" t="e">
        <f t="shared" ca="1" si="46"/>
        <v>#N/A</v>
      </c>
      <c r="AS20" s="8" t="e">
        <f t="shared" ca="1" si="47"/>
        <v>#N/A</v>
      </c>
      <c r="AT20" s="8" t="e">
        <f t="shared" ca="1" si="48"/>
        <v>#N/A</v>
      </c>
      <c r="AU20" s="8" t="e">
        <f t="shared" si="49"/>
        <v>#N/A</v>
      </c>
      <c r="AV20" s="8" t="e">
        <f t="shared" ca="1" si="50"/>
        <v>#N/A</v>
      </c>
      <c r="AX20" s="7">
        <f t="shared" si="13"/>
        <v>45642</v>
      </c>
      <c r="AY20" s="2">
        <f t="shared" si="14"/>
        <v>2</v>
      </c>
      <c r="BA20" s="2">
        <v>12</v>
      </c>
      <c r="BB20" t="str">
        <f t="shared" ca="1" si="15"/>
        <v/>
      </c>
      <c r="BC20" s="14">
        <f t="shared" si="16"/>
        <v>45642</v>
      </c>
      <c r="BD20" s="5" t="e">
        <f t="shared" si="17"/>
        <v>#N/A</v>
      </c>
      <c r="BE20" s="5" t="e">
        <f t="shared" si="18"/>
        <v>#N/A</v>
      </c>
      <c r="BF20" s="5" t="e">
        <f t="shared" si="19"/>
        <v>#N/A</v>
      </c>
      <c r="BG20" s="5" t="e">
        <f t="shared" si="20"/>
        <v>#N/A</v>
      </c>
      <c r="BH20" s="5" t="e">
        <f t="shared" si="21"/>
        <v>#N/A</v>
      </c>
      <c r="BI20" t="str">
        <f t="shared" ca="1" si="22"/>
        <v/>
      </c>
      <c r="BJ20" s="158" t="e">
        <f t="shared" si="23"/>
        <v>#N/A</v>
      </c>
      <c r="BK20" s="158" t="e">
        <f t="shared" si="24"/>
        <v>#N/A</v>
      </c>
      <c r="BL20" s="158" t="e">
        <f t="shared" si="25"/>
        <v>#N/A</v>
      </c>
      <c r="BM20" s="158" t="e">
        <f t="shared" si="26"/>
        <v>#N/A</v>
      </c>
      <c r="BN20" s="19"/>
      <c r="BQ20" s="4">
        <v>12</v>
      </c>
      <c r="BR20" s="4" t="e">
        <f t="shared" si="51"/>
        <v>#N/A</v>
      </c>
      <c r="BS20" s="4" t="e">
        <f t="shared" si="52"/>
        <v>#N/A</v>
      </c>
      <c r="BT20" s="4" t="e">
        <f t="shared" si="53"/>
        <v>#N/A</v>
      </c>
      <c r="BV20" s="4">
        <v>12</v>
      </c>
      <c r="BW20" s="4" t="e">
        <f t="shared" si="54"/>
        <v>#N/A</v>
      </c>
      <c r="BX20" s="4" t="e">
        <f t="shared" si="55"/>
        <v>#N/A</v>
      </c>
      <c r="BZ20" s="4">
        <v>12</v>
      </c>
      <c r="CA20" s="4" t="e">
        <f t="shared" si="56"/>
        <v>#N/A</v>
      </c>
      <c r="CB20" s="4" t="e">
        <f t="shared" si="57"/>
        <v>#N/A</v>
      </c>
      <c r="CC20" s="4" t="e">
        <f t="shared" si="58"/>
        <v>#N/A</v>
      </c>
      <c r="CD20" s="4" t="e">
        <f t="shared" si="59"/>
        <v>#N/A</v>
      </c>
      <c r="CG20" s="4">
        <v>12</v>
      </c>
      <c r="CH20" s="4" t="e">
        <f t="shared" si="27"/>
        <v>#N/A</v>
      </c>
      <c r="CI20" s="4" t="e">
        <f t="shared" si="28"/>
        <v>#N/A</v>
      </c>
      <c r="CJ20" s="4" t="e">
        <f t="shared" si="29"/>
        <v>#N/A</v>
      </c>
      <c r="CL20">
        <f t="shared" si="30"/>
        <v>0.81538461538461537</v>
      </c>
      <c r="CM20">
        <f t="shared" si="31"/>
        <v>1</v>
      </c>
    </row>
    <row r="21" spans="2:91" ht="15.75" thickBot="1" x14ac:dyDescent="0.3">
      <c r="B21">
        <f t="shared" si="32"/>
        <v>13</v>
      </c>
      <c r="C21" s="16">
        <v>13</v>
      </c>
      <c r="D21" s="146">
        <f>IF('Front sheet'!$C22="","",'Front sheet'!$C22)</f>
        <v>45649</v>
      </c>
      <c r="E21" s="148">
        <f>IF('Front sheet'!E22="",NA(),'Front sheet'!E22)</f>
        <v>89</v>
      </c>
      <c r="F21" s="196">
        <f>IF('Front sheet'!D22="",NA(),'Front sheet'!D22/'Front sheet'!E22)</f>
        <v>0.8764044943820225</v>
      </c>
      <c r="G21" s="205">
        <f t="shared" ca="1" si="0"/>
        <v>0.87525423728813556</v>
      </c>
      <c r="H21" s="201">
        <f t="shared" ca="1" si="33"/>
        <v>0.98033089825823783</v>
      </c>
      <c r="I21" s="157">
        <f t="shared" ca="1" si="34"/>
        <v>0.7701775763180333</v>
      </c>
      <c r="J21" s="151">
        <f>IF('Front sheet'!E22="",NA(),'Front sheet'!D22)</f>
        <v>78</v>
      </c>
      <c r="K21" s="10">
        <f t="shared" si="1"/>
        <v>45649</v>
      </c>
      <c r="L21" s="9">
        <f t="shared" ca="1" si="35"/>
        <v>3.5025553656700743E-2</v>
      </c>
      <c r="M21" s="8">
        <f t="shared" ca="1" si="2"/>
        <v>0.10507666097010224</v>
      </c>
      <c r="N21">
        <f t="shared" ca="1" si="36"/>
        <v>3.2840511392369834E-2</v>
      </c>
      <c r="O21" s="8">
        <f t="shared" ca="1" si="60"/>
        <v>1.4936150196021607</v>
      </c>
      <c r="P21">
        <f t="shared" ca="1" si="3"/>
        <v>0.1530837228102192</v>
      </c>
      <c r="Q21" s="8">
        <f ca="1">IF(ISERROR($F21),0,IF($F21&gt;$H21,MAX($Q$8:Q20)+1,0))</f>
        <v>0</v>
      </c>
      <c r="R21" s="8">
        <f ca="1">IF(ISERROR($F21),0,IF($F21&lt;$I21,MAX($R$8:R20)+1,0))</f>
        <v>0</v>
      </c>
      <c r="T21" s="8">
        <f t="shared" ca="1" si="4"/>
        <v>1</v>
      </c>
      <c r="U21" s="8">
        <f t="shared" ca="1" si="37"/>
        <v>0</v>
      </c>
      <c r="W21" s="8">
        <f t="shared" ca="1" si="6"/>
        <v>0</v>
      </c>
      <c r="X21" s="8">
        <f t="shared" ca="1" si="38"/>
        <v>0</v>
      </c>
      <c r="Z21" s="8">
        <f t="shared" si="8"/>
        <v>1</v>
      </c>
      <c r="AA21" s="8">
        <f t="shared" si="39"/>
        <v>0</v>
      </c>
      <c r="AC21" s="8">
        <f t="shared" si="10"/>
        <v>0</v>
      </c>
      <c r="AD21" s="8">
        <f t="shared" si="40"/>
        <v>0</v>
      </c>
      <c r="AF21" s="8">
        <f t="shared" ca="1" si="41"/>
        <v>0</v>
      </c>
      <c r="AG21" s="8">
        <f t="shared" ca="1" si="42"/>
        <v>0</v>
      </c>
      <c r="AH21" s="8">
        <f t="shared" ca="1" si="43"/>
        <v>0</v>
      </c>
      <c r="AI21" s="8">
        <f ca="1">IF(AH21=0,0,IF(AND(AH21=1,SUM(AH19:AH21)&gt;=2),1,IF(AND(AH21=1,SUM(AH20:AH22)&gt;=2),1,IF(AND(AH21=1,SUM(AH21:AH23)&gt;=2),1,0))))</f>
        <v>0</v>
      </c>
      <c r="AK21" s="11">
        <f t="shared" si="12"/>
        <v>1</v>
      </c>
      <c r="AL21" s="8"/>
      <c r="AN21" s="8"/>
      <c r="AO21" s="8"/>
      <c r="AP21" s="8">
        <f>IF(C21&lt;=$E$3,IF(OR('Front sheet'!$Q$3="",'Front sheet'!$Q$3=0),NA(),'Front sheet'!$Q$3),NA())</f>
        <v>0.9</v>
      </c>
      <c r="AQ21" s="8" t="e">
        <f t="shared" ca="1" si="45"/>
        <v>#N/A</v>
      </c>
      <c r="AR21" s="8" t="e">
        <f t="shared" ca="1" si="46"/>
        <v>#N/A</v>
      </c>
      <c r="AS21" s="8" t="e">
        <f t="shared" ca="1" si="47"/>
        <v>#N/A</v>
      </c>
      <c r="AT21" s="8" t="e">
        <f t="shared" ca="1" si="48"/>
        <v>#N/A</v>
      </c>
      <c r="AU21" s="8" t="e">
        <f t="shared" si="49"/>
        <v>#N/A</v>
      </c>
      <c r="AV21" s="8" t="e">
        <f t="shared" ca="1" si="50"/>
        <v>#N/A</v>
      </c>
      <c r="AX21" s="7">
        <f t="shared" si="13"/>
        <v>45649</v>
      </c>
      <c r="AY21" s="2">
        <f t="shared" si="14"/>
        <v>2</v>
      </c>
      <c r="BA21" s="2">
        <v>13</v>
      </c>
      <c r="BB21" t="str">
        <f t="shared" ca="1" si="15"/>
        <v/>
      </c>
      <c r="BC21" s="14">
        <f t="shared" si="16"/>
        <v>45649</v>
      </c>
      <c r="BD21" s="5" t="e">
        <f t="shared" si="17"/>
        <v>#N/A</v>
      </c>
      <c r="BE21" s="5" t="e">
        <f t="shared" si="18"/>
        <v>#N/A</v>
      </c>
      <c r="BF21" s="5" t="e">
        <f t="shared" si="19"/>
        <v>#N/A</v>
      </c>
      <c r="BG21" s="5" t="e">
        <f t="shared" si="20"/>
        <v>#N/A</v>
      </c>
      <c r="BH21" s="5" t="e">
        <f t="shared" si="21"/>
        <v>#N/A</v>
      </c>
      <c r="BI21" t="str">
        <f t="shared" ca="1" si="22"/>
        <v/>
      </c>
      <c r="BJ21" s="158" t="e">
        <f t="shared" si="23"/>
        <v>#N/A</v>
      </c>
      <c r="BK21" s="158" t="e">
        <f t="shared" si="24"/>
        <v>#N/A</v>
      </c>
      <c r="BL21" s="158" t="e">
        <f t="shared" si="25"/>
        <v>#N/A</v>
      </c>
      <c r="BM21" s="158" t="e">
        <f t="shared" si="26"/>
        <v>#N/A</v>
      </c>
      <c r="BN21" s="19"/>
      <c r="BQ21" s="4">
        <v>13</v>
      </c>
      <c r="BR21" s="4" t="e">
        <f t="shared" si="51"/>
        <v>#N/A</v>
      </c>
      <c r="BS21" s="4" t="e">
        <f t="shared" si="52"/>
        <v>#N/A</v>
      </c>
      <c r="BT21" s="4" t="e">
        <f t="shared" si="53"/>
        <v>#N/A</v>
      </c>
      <c r="BV21" s="4">
        <v>13</v>
      </c>
      <c r="BW21" s="4" t="e">
        <f t="shared" si="54"/>
        <v>#N/A</v>
      </c>
      <c r="BX21" s="4" t="e">
        <f t="shared" si="55"/>
        <v>#N/A</v>
      </c>
      <c r="BZ21" s="4">
        <v>13</v>
      </c>
      <c r="CA21" s="4" t="e">
        <f t="shared" si="56"/>
        <v>#N/A</v>
      </c>
      <c r="CB21" s="4" t="e">
        <f t="shared" si="57"/>
        <v>#N/A</v>
      </c>
      <c r="CC21" s="4" t="e">
        <f t="shared" si="58"/>
        <v>#N/A</v>
      </c>
      <c r="CD21" s="4" t="e">
        <f t="shared" si="59"/>
        <v>#N/A</v>
      </c>
      <c r="CG21" s="4">
        <v>13</v>
      </c>
      <c r="CH21" s="4" t="e">
        <f t="shared" si="27"/>
        <v>#N/A</v>
      </c>
      <c r="CI21" s="4" t="e">
        <f t="shared" si="28"/>
        <v>#N/A</v>
      </c>
      <c r="CJ21" s="4" t="e">
        <f t="shared" si="29"/>
        <v>#N/A</v>
      </c>
      <c r="CL21">
        <f t="shared" si="30"/>
        <v>0.8764044943820225</v>
      </c>
      <c r="CM21">
        <f t="shared" si="31"/>
        <v>1</v>
      </c>
    </row>
    <row r="22" spans="2:91" ht="15.75" thickBot="1" x14ac:dyDescent="0.3">
      <c r="B22">
        <f t="shared" si="32"/>
        <v>14</v>
      </c>
      <c r="C22" s="13">
        <v>14</v>
      </c>
      <c r="D22" s="147">
        <f>IF('Front sheet'!$C23="","",'Front sheet'!$C23)</f>
        <v>45656</v>
      </c>
      <c r="E22" s="152">
        <f>IF('Front sheet'!E23="",NA(),'Front sheet'!E23)</f>
        <v>65</v>
      </c>
      <c r="F22" s="197">
        <f>IF('Front sheet'!D23="",NA(),'Front sheet'!D23/'Front sheet'!E23)</f>
        <v>0.81538461538461537</v>
      </c>
      <c r="G22" s="205">
        <f t="shared" ca="1" si="0"/>
        <v>0.87525423728813556</v>
      </c>
      <c r="H22" s="202">
        <f t="shared" ca="1" si="33"/>
        <v>0.9982087827714593</v>
      </c>
      <c r="I22" s="193">
        <f t="shared" ca="1" si="34"/>
        <v>0.75229969180481182</v>
      </c>
      <c r="J22" s="153">
        <f>IF('Front sheet'!E23="",NA(),'Front sheet'!D23)</f>
        <v>53</v>
      </c>
      <c r="K22" s="10">
        <f t="shared" si="1"/>
        <v>45656</v>
      </c>
      <c r="L22" s="9">
        <f t="shared" ca="1" si="35"/>
        <v>4.0984848494441235E-2</v>
      </c>
      <c r="M22" s="8">
        <f t="shared" ca="1" si="2"/>
        <v>0.12295454548332371</v>
      </c>
      <c r="N22">
        <f t="shared" ca="1" si="36"/>
        <v>-1.4607745082097909</v>
      </c>
      <c r="O22" s="8">
        <f t="shared" ca="1" si="60"/>
        <v>1.4936150196021607</v>
      </c>
      <c r="P22">
        <f t="shared" ca="1" si="3"/>
        <v>0.17912959343446583</v>
      </c>
      <c r="Q22" s="8">
        <f ca="1">IF(ISERROR($F22),0,IF($F22&gt;$H22,MAX($Q$8:Q21)+1,0))</f>
        <v>0</v>
      </c>
      <c r="R22" s="8">
        <f ca="1">IF(ISERROR($F22),0,IF($F22&lt;$I22,MAX($R$8:R21)+1,0))</f>
        <v>0</v>
      </c>
      <c r="T22" s="8">
        <f t="shared" ca="1" si="4"/>
        <v>0</v>
      </c>
      <c r="U22" s="8">
        <f t="shared" ca="1" si="37"/>
        <v>0</v>
      </c>
      <c r="W22" s="8">
        <f t="shared" ca="1" si="6"/>
        <v>1</v>
      </c>
      <c r="X22" s="8">
        <f t="shared" ca="1" si="38"/>
        <v>0</v>
      </c>
      <c r="Z22" s="8">
        <f t="shared" si="8"/>
        <v>0</v>
      </c>
      <c r="AA22" s="8">
        <f t="shared" si="39"/>
        <v>0</v>
      </c>
      <c r="AC22" s="8">
        <f t="shared" si="10"/>
        <v>1</v>
      </c>
      <c r="AD22" s="8">
        <f t="shared" si="40"/>
        <v>0</v>
      </c>
      <c r="AF22" s="8">
        <f t="shared" ca="1" si="41"/>
        <v>0</v>
      </c>
      <c r="AG22" s="8">
        <f t="shared" ca="1" si="42"/>
        <v>0</v>
      </c>
      <c r="AH22" s="8">
        <f t="shared" ca="1" si="43"/>
        <v>0</v>
      </c>
      <c r="AI22" s="8">
        <f t="shared" ca="1" si="44"/>
        <v>0</v>
      </c>
      <c r="AK22" s="11">
        <f t="shared" si="12"/>
        <v>1</v>
      </c>
      <c r="AL22" s="8"/>
      <c r="AN22" s="8"/>
      <c r="AO22" s="8"/>
      <c r="AP22" s="8">
        <f>IF(C22&lt;=$E$3,IF(OR('Front sheet'!$Q$3="",'Front sheet'!$Q$3=0),NA(),'Front sheet'!$Q$3),NA())</f>
        <v>0.9</v>
      </c>
      <c r="AQ22" s="8" t="e">
        <f t="shared" ca="1" si="45"/>
        <v>#N/A</v>
      </c>
      <c r="AR22" s="8" t="e">
        <f t="shared" ca="1" si="46"/>
        <v>#N/A</v>
      </c>
      <c r="AS22" s="8" t="e">
        <f t="shared" ca="1" si="47"/>
        <v>#N/A</v>
      </c>
      <c r="AT22" s="8" t="e">
        <f t="shared" ca="1" si="48"/>
        <v>#N/A</v>
      </c>
      <c r="AU22" s="8" t="e">
        <f t="shared" si="49"/>
        <v>#N/A</v>
      </c>
      <c r="AV22" s="8" t="e">
        <f t="shared" ca="1" si="50"/>
        <v>#N/A</v>
      </c>
      <c r="AX22" s="7">
        <f t="shared" si="13"/>
        <v>45656</v>
      </c>
      <c r="AY22" s="2">
        <f t="shared" si="14"/>
        <v>2</v>
      </c>
      <c r="BA22" s="2">
        <v>14</v>
      </c>
      <c r="BB22" t="str">
        <f t="shared" ca="1" si="15"/>
        <v/>
      </c>
      <c r="BC22" s="14">
        <f t="shared" si="16"/>
        <v>45656</v>
      </c>
      <c r="BD22" s="5" t="e">
        <f t="shared" si="17"/>
        <v>#N/A</v>
      </c>
      <c r="BE22" s="5" t="e">
        <f t="shared" si="18"/>
        <v>#N/A</v>
      </c>
      <c r="BF22" s="5" t="e">
        <f t="shared" si="19"/>
        <v>#N/A</v>
      </c>
      <c r="BG22" s="5" t="e">
        <f t="shared" si="20"/>
        <v>#N/A</v>
      </c>
      <c r="BH22" s="5" t="e">
        <f t="shared" si="21"/>
        <v>#N/A</v>
      </c>
      <c r="BI22" t="str">
        <f t="shared" ca="1" si="22"/>
        <v/>
      </c>
      <c r="BJ22" s="158" t="e">
        <f t="shared" si="23"/>
        <v>#N/A</v>
      </c>
      <c r="BK22" s="158" t="e">
        <f t="shared" si="24"/>
        <v>#N/A</v>
      </c>
      <c r="BL22" s="158" t="e">
        <f t="shared" si="25"/>
        <v>#N/A</v>
      </c>
      <c r="BM22" s="158" t="e">
        <f t="shared" si="26"/>
        <v>#N/A</v>
      </c>
      <c r="BN22" s="19"/>
      <c r="BQ22" s="4">
        <v>14</v>
      </c>
      <c r="BR22" s="4" t="e">
        <f t="shared" si="51"/>
        <v>#N/A</v>
      </c>
      <c r="BS22" s="4" t="e">
        <f t="shared" si="52"/>
        <v>#N/A</v>
      </c>
      <c r="BT22" s="4" t="e">
        <f t="shared" si="53"/>
        <v>#N/A</v>
      </c>
      <c r="BV22" s="4">
        <v>14</v>
      </c>
      <c r="BW22" s="4" t="e">
        <f t="shared" si="54"/>
        <v>#N/A</v>
      </c>
      <c r="BX22" s="4" t="e">
        <f t="shared" si="55"/>
        <v>#N/A</v>
      </c>
      <c r="BZ22" s="4">
        <v>14</v>
      </c>
      <c r="CA22" s="4" t="e">
        <f t="shared" si="56"/>
        <v>#N/A</v>
      </c>
      <c r="CB22" s="4" t="e">
        <f t="shared" si="57"/>
        <v>#N/A</v>
      </c>
      <c r="CC22" s="4" t="e">
        <f t="shared" si="58"/>
        <v>#N/A</v>
      </c>
      <c r="CD22" s="4" t="e">
        <f t="shared" si="59"/>
        <v>#N/A</v>
      </c>
      <c r="CG22" s="4">
        <v>14</v>
      </c>
      <c r="CH22" s="4" t="e">
        <f t="shared" si="27"/>
        <v>#N/A</v>
      </c>
      <c r="CI22" s="4" t="e">
        <f t="shared" si="28"/>
        <v>#N/A</v>
      </c>
      <c r="CJ22" s="4" t="e">
        <f t="shared" si="29"/>
        <v>#N/A</v>
      </c>
      <c r="CL22">
        <f t="shared" si="30"/>
        <v>0.81538461538461537</v>
      </c>
      <c r="CM22">
        <f t="shared" si="31"/>
        <v>1</v>
      </c>
    </row>
    <row r="23" spans="2:91" ht="15.75" thickBot="1" x14ac:dyDescent="0.3">
      <c r="B23">
        <f t="shared" si="32"/>
        <v>15</v>
      </c>
      <c r="C23" s="18">
        <v>15</v>
      </c>
      <c r="D23" s="154">
        <f>IF('Front sheet'!$C24="","",'Front sheet'!$C24)</f>
        <v>45663</v>
      </c>
      <c r="E23" s="149">
        <f>IF('Front sheet'!E24="",NA(),'Front sheet'!E24)</f>
        <v>73</v>
      </c>
      <c r="F23" s="195">
        <f>IF('Front sheet'!D24="",NA(),'Front sheet'!D24/'Front sheet'!E24)</f>
        <v>0.87671232876712324</v>
      </c>
      <c r="G23" s="206">
        <f t="shared" ca="1" si="0"/>
        <v>0.87525423728813556</v>
      </c>
      <c r="H23" s="200">
        <f t="shared" ca="1" si="33"/>
        <v>0.99127610087342743</v>
      </c>
      <c r="I23" s="192">
        <f t="shared" ca="1" si="34"/>
        <v>0.75923237370284369</v>
      </c>
      <c r="J23" s="150">
        <f>IF('Front sheet'!E24="",NA(),'Front sheet'!D24)</f>
        <v>64</v>
      </c>
      <c r="K23" s="10">
        <f t="shared" si="1"/>
        <v>45663</v>
      </c>
      <c r="L23" s="9">
        <f t="shared" ca="1" si="35"/>
        <v>3.8673954528430608E-2</v>
      </c>
      <c r="M23" s="8">
        <f t="shared" ca="1" si="2"/>
        <v>0.11602186358529182</v>
      </c>
      <c r="N23">
        <f t="shared" ca="1" si="36"/>
        <v>3.7702156315971833E-2</v>
      </c>
      <c r="O23" s="8">
        <f t="shared" ca="1" si="60"/>
        <v>1.4984766645257628</v>
      </c>
      <c r="P23">
        <f t="shared" ca="1" si="3"/>
        <v>0.16902953178222407</v>
      </c>
      <c r="Q23" s="8">
        <f ca="1">IF(ISERROR($F23),0,IF($F23&gt;$H23,MAX($Q$8:Q22)+1,0))</f>
        <v>0</v>
      </c>
      <c r="R23" s="8">
        <f ca="1">IF(ISERROR($F23),0,IF($F23&lt;$I23,MAX($R$8:R22)+1,0))</f>
        <v>0</v>
      </c>
      <c r="T23" s="8">
        <f t="shared" ca="1" si="4"/>
        <v>1</v>
      </c>
      <c r="U23" s="8">
        <f t="shared" ca="1" si="37"/>
        <v>0</v>
      </c>
      <c r="W23" s="8">
        <f t="shared" ca="1" si="6"/>
        <v>0</v>
      </c>
      <c r="X23" s="8">
        <f t="shared" ca="1" si="38"/>
        <v>0</v>
      </c>
      <c r="Z23" s="8">
        <f t="shared" si="8"/>
        <v>1</v>
      </c>
      <c r="AA23" s="8">
        <f t="shared" si="39"/>
        <v>0</v>
      </c>
      <c r="AC23" s="8">
        <f t="shared" si="10"/>
        <v>0</v>
      </c>
      <c r="AD23" s="8">
        <f t="shared" si="40"/>
        <v>0</v>
      </c>
      <c r="AF23" s="8">
        <f t="shared" ca="1" si="41"/>
        <v>0</v>
      </c>
      <c r="AG23" s="8">
        <f t="shared" ca="1" si="42"/>
        <v>0</v>
      </c>
      <c r="AH23" s="8">
        <f t="shared" ca="1" si="43"/>
        <v>0</v>
      </c>
      <c r="AI23" s="8">
        <f t="shared" ca="1" si="44"/>
        <v>0</v>
      </c>
      <c r="AK23" s="11">
        <f t="shared" si="12"/>
        <v>1</v>
      </c>
      <c r="AL23" s="8"/>
      <c r="AN23" s="8"/>
      <c r="AO23" s="8"/>
      <c r="AP23" s="8">
        <f>IF(C23&lt;=$E$3,IF(OR('Front sheet'!$Q$3="",'Front sheet'!$Q$3=0),NA(),'Front sheet'!$Q$3),NA())</f>
        <v>0.9</v>
      </c>
      <c r="AQ23" s="8" t="e">
        <f t="shared" ca="1" si="45"/>
        <v>#N/A</v>
      </c>
      <c r="AR23" s="8" t="e">
        <f t="shared" ca="1" si="46"/>
        <v>#N/A</v>
      </c>
      <c r="AS23" s="8" t="e">
        <f t="shared" ca="1" si="47"/>
        <v>#N/A</v>
      </c>
      <c r="AT23" s="8" t="e">
        <f t="shared" ca="1" si="48"/>
        <v>#N/A</v>
      </c>
      <c r="AU23" s="8" t="e">
        <f t="shared" si="49"/>
        <v>#N/A</v>
      </c>
      <c r="AV23" s="8" t="e">
        <f t="shared" ca="1" si="50"/>
        <v>#N/A</v>
      </c>
      <c r="AX23" s="7">
        <f t="shared" si="13"/>
        <v>45663</v>
      </c>
      <c r="AY23" s="2">
        <f t="shared" si="14"/>
        <v>2</v>
      </c>
      <c r="BA23" s="2">
        <v>15</v>
      </c>
      <c r="BB23" t="str">
        <f t="shared" ca="1" si="15"/>
        <v/>
      </c>
      <c r="BC23" s="14">
        <f t="shared" si="16"/>
        <v>45663</v>
      </c>
      <c r="BD23" s="5" t="e">
        <f t="shared" si="17"/>
        <v>#N/A</v>
      </c>
      <c r="BE23" s="5" t="e">
        <f t="shared" si="18"/>
        <v>#N/A</v>
      </c>
      <c r="BF23" s="5" t="e">
        <f t="shared" si="19"/>
        <v>#N/A</v>
      </c>
      <c r="BG23" s="5" t="e">
        <f t="shared" si="20"/>
        <v>#N/A</v>
      </c>
      <c r="BH23" s="5" t="e">
        <f t="shared" si="21"/>
        <v>#N/A</v>
      </c>
      <c r="BI23" t="str">
        <f t="shared" ca="1" si="22"/>
        <v/>
      </c>
      <c r="BJ23" s="158" t="e">
        <f t="shared" si="23"/>
        <v>#N/A</v>
      </c>
      <c r="BK23" s="158" t="e">
        <f t="shared" si="24"/>
        <v>#N/A</v>
      </c>
      <c r="BL23" s="158" t="e">
        <f t="shared" si="25"/>
        <v>#N/A</v>
      </c>
      <c r="BM23" s="158" t="e">
        <f t="shared" si="26"/>
        <v>#N/A</v>
      </c>
      <c r="BN23" s="19"/>
      <c r="BQ23" s="4">
        <v>15</v>
      </c>
      <c r="BR23" s="4" t="e">
        <f t="shared" si="51"/>
        <v>#N/A</v>
      </c>
      <c r="BS23" s="4" t="e">
        <f t="shared" si="52"/>
        <v>#N/A</v>
      </c>
      <c r="BT23" s="4" t="e">
        <f t="shared" si="53"/>
        <v>#N/A</v>
      </c>
      <c r="BV23" s="4">
        <v>15</v>
      </c>
      <c r="BW23" s="4" t="e">
        <f t="shared" si="54"/>
        <v>#N/A</v>
      </c>
      <c r="BX23" s="4" t="e">
        <f t="shared" si="55"/>
        <v>#N/A</v>
      </c>
      <c r="BZ23" s="4">
        <v>15</v>
      </c>
      <c r="CA23" s="4" t="e">
        <f t="shared" si="56"/>
        <v>#N/A</v>
      </c>
      <c r="CB23" s="4" t="e">
        <f t="shared" si="57"/>
        <v>#N/A</v>
      </c>
      <c r="CC23" s="4" t="e">
        <f t="shared" si="58"/>
        <v>#N/A</v>
      </c>
      <c r="CD23" s="4" t="e">
        <f t="shared" si="59"/>
        <v>#N/A</v>
      </c>
      <c r="CG23" s="4">
        <v>15</v>
      </c>
      <c r="CH23" s="4" t="e">
        <f t="shared" si="27"/>
        <v>#N/A</v>
      </c>
      <c r="CI23" s="4" t="e">
        <f t="shared" si="28"/>
        <v>#N/A</v>
      </c>
      <c r="CJ23" s="4" t="e">
        <f t="shared" si="29"/>
        <v>#N/A</v>
      </c>
      <c r="CL23">
        <f t="shared" si="30"/>
        <v>0.87671232876712324</v>
      </c>
      <c r="CM23">
        <f t="shared" si="31"/>
        <v>1</v>
      </c>
    </row>
    <row r="24" spans="2:91" ht="15.75" thickBot="1" x14ac:dyDescent="0.3">
      <c r="B24">
        <f t="shared" si="32"/>
        <v>16</v>
      </c>
      <c r="C24" s="16">
        <v>16</v>
      </c>
      <c r="D24" s="146">
        <f>IF('Front sheet'!$C25="","",'Front sheet'!$C25)</f>
        <v>45670</v>
      </c>
      <c r="E24" s="148">
        <f>IF('Front sheet'!E25="",NA(),'Front sheet'!E25)</f>
        <v>83</v>
      </c>
      <c r="F24" s="196">
        <f>IF('Front sheet'!D25="",NA(),'Front sheet'!D25/'Front sheet'!E25)</f>
        <v>0.85542168674698793</v>
      </c>
      <c r="G24" s="205">
        <f t="shared" ca="1" si="0"/>
        <v>0.87525423728813556</v>
      </c>
      <c r="H24" s="201">
        <f t="shared" ca="1" si="33"/>
        <v>0.9840625863529624</v>
      </c>
      <c r="I24" s="157">
        <f t="shared" ca="1" si="34"/>
        <v>0.76644588822330872</v>
      </c>
      <c r="J24" s="151">
        <f>IF('Front sheet'!E25="",NA(),'Front sheet'!D25)</f>
        <v>71</v>
      </c>
      <c r="K24" s="10">
        <f t="shared" si="1"/>
        <v>45670</v>
      </c>
      <c r="L24" s="9">
        <f t="shared" ca="1" si="35"/>
        <v>3.6269449688275626E-2</v>
      </c>
      <c r="M24" s="8">
        <f t="shared" ca="1" si="2"/>
        <v>0.10880834906482688</v>
      </c>
      <c r="N24">
        <f t="shared" ca="1" si="36"/>
        <v>-0.54681145458787184</v>
      </c>
      <c r="O24" s="8">
        <f t="shared" ca="1" si="60"/>
        <v>0.58451361090384368</v>
      </c>
      <c r="P24">
        <f t="shared" ca="1" si="3"/>
        <v>0.15852033166924612</v>
      </c>
      <c r="Q24" s="8">
        <f ca="1">IF(ISERROR($F24),0,IF($F24&gt;$H24,MAX($Q$8:Q23)+1,0))</f>
        <v>0</v>
      </c>
      <c r="R24" s="8">
        <f ca="1">IF(ISERROR($F24),0,IF($F24&lt;$I24,MAX($R$8:R23)+1,0))</f>
        <v>0</v>
      </c>
      <c r="T24" s="8">
        <f t="shared" ca="1" si="4"/>
        <v>0</v>
      </c>
      <c r="U24" s="8">
        <f t="shared" ca="1" si="37"/>
        <v>0</v>
      </c>
      <c r="W24" s="8">
        <f t="shared" ca="1" si="6"/>
        <v>1</v>
      </c>
      <c r="X24" s="8">
        <f t="shared" ca="1" si="38"/>
        <v>0</v>
      </c>
      <c r="Z24" s="8">
        <f t="shared" si="8"/>
        <v>0</v>
      </c>
      <c r="AA24" s="8">
        <f t="shared" si="39"/>
        <v>0</v>
      </c>
      <c r="AC24" s="8">
        <f t="shared" si="10"/>
        <v>1</v>
      </c>
      <c r="AD24" s="8">
        <f t="shared" si="40"/>
        <v>0</v>
      </c>
      <c r="AF24" s="8">
        <f t="shared" ca="1" si="41"/>
        <v>0</v>
      </c>
      <c r="AG24" s="8">
        <f t="shared" ca="1" si="42"/>
        <v>0</v>
      </c>
      <c r="AH24" s="8">
        <f t="shared" ca="1" si="43"/>
        <v>0</v>
      </c>
      <c r="AI24" s="8">
        <f t="shared" ca="1" si="44"/>
        <v>0</v>
      </c>
      <c r="AK24" s="11">
        <f t="shared" si="12"/>
        <v>1</v>
      </c>
      <c r="AL24" s="8"/>
      <c r="AN24" s="8"/>
      <c r="AO24" s="8"/>
      <c r="AP24" s="8">
        <f>IF(C24&lt;=$E$3,IF(OR('Front sheet'!$Q$3="",'Front sheet'!$Q$3=0),NA(),'Front sheet'!$Q$3),NA())</f>
        <v>0.9</v>
      </c>
      <c r="AQ24" s="8" t="e">
        <f t="shared" ca="1" si="45"/>
        <v>#N/A</v>
      </c>
      <c r="AR24" s="8" t="e">
        <f t="shared" ca="1" si="46"/>
        <v>#N/A</v>
      </c>
      <c r="AS24" s="8" t="e">
        <f t="shared" ca="1" si="47"/>
        <v>#N/A</v>
      </c>
      <c r="AT24" s="8" t="e">
        <f t="shared" ca="1" si="48"/>
        <v>#N/A</v>
      </c>
      <c r="AU24" s="8" t="e">
        <f t="shared" si="49"/>
        <v>#N/A</v>
      </c>
      <c r="AV24" s="8" t="e">
        <f t="shared" ca="1" si="50"/>
        <v>#N/A</v>
      </c>
      <c r="AX24" s="7">
        <f t="shared" si="13"/>
        <v>45670</v>
      </c>
      <c r="AY24" s="2">
        <f t="shared" si="14"/>
        <v>2</v>
      </c>
      <c r="BA24" s="2">
        <v>16</v>
      </c>
      <c r="BB24" t="str">
        <f t="shared" ca="1" si="15"/>
        <v/>
      </c>
      <c r="BC24" s="14">
        <f t="shared" si="16"/>
        <v>45670</v>
      </c>
      <c r="BD24" s="5" t="e">
        <f t="shared" si="17"/>
        <v>#N/A</v>
      </c>
      <c r="BE24" s="5" t="e">
        <f t="shared" si="18"/>
        <v>#N/A</v>
      </c>
      <c r="BF24" s="5" t="e">
        <f t="shared" si="19"/>
        <v>#N/A</v>
      </c>
      <c r="BG24" s="5" t="e">
        <f t="shared" si="20"/>
        <v>#N/A</v>
      </c>
      <c r="BH24" s="5" t="e">
        <f t="shared" si="21"/>
        <v>#N/A</v>
      </c>
      <c r="BI24" t="str">
        <f t="shared" ca="1" si="22"/>
        <v/>
      </c>
      <c r="BJ24" s="158" t="e">
        <f t="shared" si="23"/>
        <v>#N/A</v>
      </c>
      <c r="BK24" s="158" t="e">
        <f t="shared" si="24"/>
        <v>#N/A</v>
      </c>
      <c r="BL24" s="158" t="e">
        <f t="shared" si="25"/>
        <v>#N/A</v>
      </c>
      <c r="BM24" s="158" t="e">
        <f t="shared" si="26"/>
        <v>#N/A</v>
      </c>
      <c r="BN24" s="19"/>
      <c r="BQ24" s="4">
        <v>16</v>
      </c>
      <c r="BR24" s="4" t="e">
        <f t="shared" si="51"/>
        <v>#N/A</v>
      </c>
      <c r="BS24" s="4" t="e">
        <f t="shared" si="52"/>
        <v>#N/A</v>
      </c>
      <c r="BT24" s="4" t="e">
        <f t="shared" si="53"/>
        <v>#N/A</v>
      </c>
      <c r="BV24" s="4">
        <v>16</v>
      </c>
      <c r="BW24" s="4" t="e">
        <f t="shared" si="54"/>
        <v>#N/A</v>
      </c>
      <c r="BX24" s="4" t="e">
        <f t="shared" si="55"/>
        <v>#N/A</v>
      </c>
      <c r="BZ24" s="4">
        <v>16</v>
      </c>
      <c r="CA24" s="4" t="e">
        <f t="shared" si="56"/>
        <v>#N/A</v>
      </c>
      <c r="CB24" s="4" t="e">
        <f t="shared" si="57"/>
        <v>#N/A</v>
      </c>
      <c r="CC24" s="4" t="e">
        <f t="shared" si="58"/>
        <v>#N/A</v>
      </c>
      <c r="CD24" s="4" t="e">
        <f t="shared" si="59"/>
        <v>#N/A</v>
      </c>
      <c r="CG24" s="4">
        <v>16</v>
      </c>
      <c r="CH24" s="4" t="e">
        <f t="shared" si="27"/>
        <v>#N/A</v>
      </c>
      <c r="CI24" s="4" t="e">
        <f t="shared" si="28"/>
        <v>#N/A</v>
      </c>
      <c r="CJ24" s="4" t="e">
        <f t="shared" si="29"/>
        <v>#N/A</v>
      </c>
      <c r="CL24">
        <f t="shared" si="30"/>
        <v>0.85542168674698793</v>
      </c>
      <c r="CM24">
        <f t="shared" si="31"/>
        <v>1</v>
      </c>
    </row>
    <row r="25" spans="2:91" ht="15.75" thickBot="1" x14ac:dyDescent="0.3">
      <c r="B25">
        <f t="shared" si="32"/>
        <v>17</v>
      </c>
      <c r="C25" s="16">
        <v>17</v>
      </c>
      <c r="D25" s="146">
        <f>IF('Front sheet'!$C26="","",'Front sheet'!$C26)</f>
        <v>45677</v>
      </c>
      <c r="E25" s="148">
        <f>IF('Front sheet'!E26="",NA(),'Front sheet'!E26)</f>
        <v>73</v>
      </c>
      <c r="F25" s="196">
        <f>IF('Front sheet'!D26="",NA(),'Front sheet'!D26/'Front sheet'!E26)</f>
        <v>0.93150684931506844</v>
      </c>
      <c r="G25" s="205">
        <f t="shared" ca="1" si="0"/>
        <v>0.87525423728813556</v>
      </c>
      <c r="H25" s="201">
        <f t="shared" ca="1" si="33"/>
        <v>0.99127610087342743</v>
      </c>
      <c r="I25" s="157">
        <f t="shared" ca="1" si="34"/>
        <v>0.75923237370284369</v>
      </c>
      <c r="J25" s="151">
        <f>IF('Front sheet'!E26="",NA(),'Front sheet'!D26)</f>
        <v>68</v>
      </c>
      <c r="K25" s="10">
        <f t="shared" si="1"/>
        <v>45677</v>
      </c>
      <c r="L25" s="9">
        <f t="shared" ca="1" si="35"/>
        <v>3.8673954528430608E-2</v>
      </c>
      <c r="M25" s="8">
        <f t="shared" ca="1" si="2"/>
        <v>0.11602186358529182</v>
      </c>
      <c r="N25">
        <f t="shared" ca="1" si="36"/>
        <v>1.4545347822028278</v>
      </c>
      <c r="O25" s="8">
        <f t="shared" ca="1" si="60"/>
        <v>2.0013462367906998</v>
      </c>
      <c r="P25">
        <f t="shared" ca="1" si="3"/>
        <v>0.16902953178222407</v>
      </c>
      <c r="Q25" s="8">
        <f ca="1">IF(ISERROR($F25),0,IF($F25&gt;$H25,MAX($Q$8:Q24)+1,0))</f>
        <v>0</v>
      </c>
      <c r="R25" s="8">
        <f ca="1">IF(ISERROR($F25),0,IF($F25&lt;$I25,MAX($R$8:R24)+1,0))</f>
        <v>0</v>
      </c>
      <c r="T25" s="8">
        <f t="shared" ca="1" si="4"/>
        <v>1</v>
      </c>
      <c r="U25" s="8">
        <f t="shared" ca="1" si="37"/>
        <v>0</v>
      </c>
      <c r="W25" s="8">
        <f t="shared" ca="1" si="6"/>
        <v>0</v>
      </c>
      <c r="X25" s="8">
        <f t="shared" ca="1" si="38"/>
        <v>0</v>
      </c>
      <c r="Z25" s="8">
        <f t="shared" si="8"/>
        <v>1</v>
      </c>
      <c r="AA25" s="8">
        <f t="shared" si="39"/>
        <v>0</v>
      </c>
      <c r="AC25" s="8">
        <f t="shared" si="10"/>
        <v>0</v>
      </c>
      <c r="AD25" s="8">
        <f t="shared" si="40"/>
        <v>0</v>
      </c>
      <c r="AF25" s="8">
        <f t="shared" ca="1" si="41"/>
        <v>0</v>
      </c>
      <c r="AG25" s="8">
        <f t="shared" ca="1" si="42"/>
        <v>0</v>
      </c>
      <c r="AH25" s="8">
        <f t="shared" ca="1" si="43"/>
        <v>0</v>
      </c>
      <c r="AI25" s="8">
        <f t="shared" ca="1" si="44"/>
        <v>0</v>
      </c>
      <c r="AK25" s="11">
        <f t="shared" si="12"/>
        <v>1</v>
      </c>
      <c r="AL25" s="8"/>
      <c r="AN25" s="8"/>
      <c r="AO25" s="8"/>
      <c r="AP25" s="8">
        <f>IF(C25&lt;=$E$3,IF(OR('Front sheet'!$Q$3="",'Front sheet'!$Q$3=0),NA(),'Front sheet'!$Q$3),NA())</f>
        <v>0.9</v>
      </c>
      <c r="AQ25" s="8" t="e">
        <f t="shared" ca="1" si="45"/>
        <v>#N/A</v>
      </c>
      <c r="AR25" s="8" t="e">
        <f t="shared" ca="1" si="46"/>
        <v>#N/A</v>
      </c>
      <c r="AS25" s="8" t="e">
        <f t="shared" ca="1" si="47"/>
        <v>#N/A</v>
      </c>
      <c r="AT25" s="8" t="e">
        <f t="shared" ca="1" si="48"/>
        <v>#N/A</v>
      </c>
      <c r="AU25" s="8" t="e">
        <f t="shared" si="49"/>
        <v>#N/A</v>
      </c>
      <c r="AV25" s="8" t="e">
        <f t="shared" ca="1" si="50"/>
        <v>#N/A</v>
      </c>
      <c r="AX25" s="7">
        <f t="shared" si="13"/>
        <v>45677</v>
      </c>
      <c r="AY25" s="2">
        <f t="shared" si="14"/>
        <v>2</v>
      </c>
      <c r="BA25" s="2">
        <v>17</v>
      </c>
      <c r="BB25">
        <f t="shared" ca="1" si="15"/>
        <v>1</v>
      </c>
      <c r="BC25" s="14">
        <f t="shared" si="16"/>
        <v>45677</v>
      </c>
      <c r="BD25" s="5" t="e">
        <f t="shared" si="17"/>
        <v>#N/A</v>
      </c>
      <c r="BE25" s="5" t="e">
        <f t="shared" si="18"/>
        <v>#N/A</v>
      </c>
      <c r="BF25" s="5" t="e">
        <f t="shared" si="19"/>
        <v>#N/A</v>
      </c>
      <c r="BG25" s="5" t="e">
        <f t="shared" si="20"/>
        <v>#N/A</v>
      </c>
      <c r="BH25" s="5" t="e">
        <f t="shared" si="21"/>
        <v>#N/A</v>
      </c>
      <c r="BI25" t="str">
        <f t="shared" ca="1" si="22"/>
        <v/>
      </c>
      <c r="BJ25" s="158" t="e">
        <f t="shared" si="23"/>
        <v>#N/A</v>
      </c>
      <c r="BK25" s="158" t="e">
        <f t="shared" si="24"/>
        <v>#N/A</v>
      </c>
      <c r="BL25" s="158" t="e">
        <f t="shared" si="25"/>
        <v>#N/A</v>
      </c>
      <c r="BM25" s="158" t="e">
        <f t="shared" si="26"/>
        <v>#N/A</v>
      </c>
      <c r="BN25" s="19"/>
      <c r="BQ25" s="4">
        <v>17</v>
      </c>
      <c r="BR25" s="4" t="e">
        <f t="shared" si="51"/>
        <v>#N/A</v>
      </c>
      <c r="BS25" s="4" t="e">
        <f t="shared" si="52"/>
        <v>#N/A</v>
      </c>
      <c r="BT25" s="4" t="e">
        <f t="shared" si="53"/>
        <v>#N/A</v>
      </c>
      <c r="BV25" s="4">
        <v>17</v>
      </c>
      <c r="BW25" s="4" t="e">
        <f t="shared" si="54"/>
        <v>#N/A</v>
      </c>
      <c r="BX25" s="4" t="e">
        <f t="shared" si="55"/>
        <v>#N/A</v>
      </c>
      <c r="BZ25" s="4">
        <v>17</v>
      </c>
      <c r="CA25" s="4" t="e">
        <f t="shared" si="56"/>
        <v>#N/A</v>
      </c>
      <c r="CB25" s="4" t="e">
        <f t="shared" si="57"/>
        <v>#N/A</v>
      </c>
      <c r="CC25" s="4" t="e">
        <f t="shared" si="58"/>
        <v>#N/A</v>
      </c>
      <c r="CD25" s="4" t="e">
        <f t="shared" si="59"/>
        <v>#N/A</v>
      </c>
      <c r="CG25" s="4">
        <v>17</v>
      </c>
      <c r="CH25" s="4" t="e">
        <f t="shared" si="27"/>
        <v>#N/A</v>
      </c>
      <c r="CI25" s="4" t="e">
        <f t="shared" si="28"/>
        <v>#N/A</v>
      </c>
      <c r="CJ25" s="4" t="e">
        <f t="shared" si="29"/>
        <v>#N/A</v>
      </c>
      <c r="CL25">
        <f t="shared" si="30"/>
        <v>0.93150684931506844</v>
      </c>
      <c r="CM25">
        <f t="shared" si="31"/>
        <v>1</v>
      </c>
    </row>
    <row r="26" spans="2:91" ht="15.75" thickBot="1" x14ac:dyDescent="0.3">
      <c r="B26">
        <f t="shared" si="32"/>
        <v>18</v>
      </c>
      <c r="C26" s="16">
        <v>18</v>
      </c>
      <c r="D26" s="146">
        <f>IF('Front sheet'!$C27="","",'Front sheet'!$C27)</f>
        <v>45684</v>
      </c>
      <c r="E26" s="148">
        <f>IF('Front sheet'!E27="",NA(),'Front sheet'!E27)</f>
        <v>83</v>
      </c>
      <c r="F26" s="196">
        <f>IF('Front sheet'!D27="",NA(),'Front sheet'!D27/'Front sheet'!E27)</f>
        <v>0.90361445783132532</v>
      </c>
      <c r="G26" s="205">
        <f t="shared" ca="1" si="0"/>
        <v>0.87525423728813556</v>
      </c>
      <c r="H26" s="201">
        <f t="shared" ca="1" si="33"/>
        <v>0.9840625863529624</v>
      </c>
      <c r="I26" s="157">
        <f t="shared" ca="1" si="34"/>
        <v>0.76644588822330872</v>
      </c>
      <c r="J26" s="151">
        <f>IF('Front sheet'!E27="",NA(),'Front sheet'!D27)</f>
        <v>75</v>
      </c>
      <c r="K26" s="10">
        <f t="shared" si="1"/>
        <v>45684</v>
      </c>
      <c r="L26" s="9">
        <f t="shared" ca="1" si="35"/>
        <v>3.6269449688275626E-2</v>
      </c>
      <c r="M26" s="8">
        <f t="shared" ca="1" si="2"/>
        <v>0.10880834906482688</v>
      </c>
      <c r="N26">
        <f t="shared" ca="1" si="36"/>
        <v>0.78193137163471815</v>
      </c>
      <c r="O26" s="8">
        <f t="shared" ca="1" si="60"/>
        <v>0.67260341056810968</v>
      </c>
      <c r="P26">
        <f t="shared" ca="1" si="3"/>
        <v>0.15852033166924612</v>
      </c>
      <c r="Q26" s="8">
        <f ca="1">IF(ISERROR($F26),0,IF($F26&gt;$H26,MAX($Q$8:Q25)+1,0))</f>
        <v>0</v>
      </c>
      <c r="R26" s="8">
        <f ca="1">IF(ISERROR($F26),0,IF($F26&lt;$I26,MAX($R$8:R25)+1,0))</f>
        <v>0</v>
      </c>
      <c r="T26" s="8">
        <f t="shared" ca="1" si="4"/>
        <v>1</v>
      </c>
      <c r="U26" s="8">
        <f t="shared" ca="1" si="37"/>
        <v>0</v>
      </c>
      <c r="W26" s="8">
        <f t="shared" ca="1" si="6"/>
        <v>0</v>
      </c>
      <c r="X26" s="8">
        <f t="shared" ca="1" si="38"/>
        <v>0</v>
      </c>
      <c r="Z26" s="8">
        <f t="shared" si="8"/>
        <v>0</v>
      </c>
      <c r="AA26" s="8">
        <f t="shared" si="39"/>
        <v>0</v>
      </c>
      <c r="AC26" s="8">
        <f t="shared" si="10"/>
        <v>1</v>
      </c>
      <c r="AD26" s="8">
        <f t="shared" si="40"/>
        <v>0</v>
      </c>
      <c r="AF26" s="8">
        <f t="shared" ca="1" si="41"/>
        <v>0</v>
      </c>
      <c r="AG26" s="8">
        <f t="shared" ca="1" si="42"/>
        <v>0</v>
      </c>
      <c r="AH26" s="8">
        <f t="shared" ca="1" si="43"/>
        <v>0</v>
      </c>
      <c r="AI26" s="8">
        <f t="shared" ca="1" si="44"/>
        <v>0</v>
      </c>
      <c r="AK26" s="11">
        <f t="shared" si="12"/>
        <v>1</v>
      </c>
      <c r="AL26" s="8"/>
      <c r="AN26" s="8"/>
      <c r="AO26" s="8"/>
      <c r="AP26" s="8">
        <f>IF(C26&lt;=$E$3,IF(OR('Front sheet'!$Q$3="",'Front sheet'!$Q$3=0),NA(),'Front sheet'!$Q$3),NA())</f>
        <v>0.9</v>
      </c>
      <c r="AQ26" s="8" t="e">
        <f t="shared" ca="1" si="45"/>
        <v>#N/A</v>
      </c>
      <c r="AR26" s="8" t="e">
        <f t="shared" ca="1" si="46"/>
        <v>#N/A</v>
      </c>
      <c r="AS26" s="8" t="e">
        <f t="shared" ca="1" si="47"/>
        <v>#N/A</v>
      </c>
      <c r="AT26" s="8" t="e">
        <f t="shared" ca="1" si="48"/>
        <v>#N/A</v>
      </c>
      <c r="AU26" s="8" t="e">
        <f t="shared" si="49"/>
        <v>#N/A</v>
      </c>
      <c r="AV26" s="8" t="e">
        <f t="shared" ca="1" si="50"/>
        <v>#N/A</v>
      </c>
      <c r="AX26" s="7">
        <f t="shared" si="13"/>
        <v>45684</v>
      </c>
      <c r="AY26" s="2">
        <f t="shared" si="14"/>
        <v>2</v>
      </c>
      <c r="BA26" s="2">
        <v>18</v>
      </c>
      <c r="BB26">
        <f t="shared" ca="1" si="15"/>
        <v>2</v>
      </c>
      <c r="BC26" s="14">
        <f t="shared" si="16"/>
        <v>45684</v>
      </c>
      <c r="BD26" s="5" t="e">
        <f t="shared" si="17"/>
        <v>#N/A</v>
      </c>
      <c r="BE26" s="5" t="e">
        <f t="shared" si="18"/>
        <v>#N/A</v>
      </c>
      <c r="BF26" s="5" t="e">
        <f t="shared" si="19"/>
        <v>#N/A</v>
      </c>
      <c r="BG26" s="5" t="e">
        <f t="shared" si="20"/>
        <v>#N/A</v>
      </c>
      <c r="BH26" s="5" t="e">
        <f t="shared" si="21"/>
        <v>#N/A</v>
      </c>
      <c r="BI26" t="str">
        <f t="shared" ca="1" si="22"/>
        <v/>
      </c>
      <c r="BJ26" s="158" t="e">
        <f t="shared" si="23"/>
        <v>#N/A</v>
      </c>
      <c r="BK26" s="158" t="e">
        <f t="shared" si="24"/>
        <v>#N/A</v>
      </c>
      <c r="BL26" s="158" t="e">
        <f t="shared" si="25"/>
        <v>#N/A</v>
      </c>
      <c r="BM26" s="158" t="e">
        <f t="shared" si="26"/>
        <v>#N/A</v>
      </c>
      <c r="BN26" s="19"/>
      <c r="BQ26" s="4">
        <v>18</v>
      </c>
      <c r="BR26" s="4" t="e">
        <f t="shared" si="51"/>
        <v>#N/A</v>
      </c>
      <c r="BS26" s="4" t="e">
        <f t="shared" si="52"/>
        <v>#N/A</v>
      </c>
      <c r="BT26" s="4" t="e">
        <f t="shared" si="53"/>
        <v>#N/A</v>
      </c>
      <c r="BV26" s="4">
        <v>18</v>
      </c>
      <c r="BW26" s="4" t="e">
        <f t="shared" si="54"/>
        <v>#N/A</v>
      </c>
      <c r="BX26" s="4" t="e">
        <f t="shared" si="55"/>
        <v>#N/A</v>
      </c>
      <c r="BZ26" s="4">
        <v>18</v>
      </c>
      <c r="CA26" s="4" t="e">
        <f t="shared" si="56"/>
        <v>#N/A</v>
      </c>
      <c r="CB26" s="4" t="e">
        <f t="shared" si="57"/>
        <v>#N/A</v>
      </c>
      <c r="CC26" s="4" t="e">
        <f t="shared" si="58"/>
        <v>#N/A</v>
      </c>
      <c r="CD26" s="4" t="e">
        <f t="shared" si="59"/>
        <v>#N/A</v>
      </c>
      <c r="CG26" s="4">
        <v>18</v>
      </c>
      <c r="CH26" s="4" t="e">
        <f t="shared" si="27"/>
        <v>#N/A</v>
      </c>
      <c r="CI26" s="4" t="e">
        <f t="shared" si="28"/>
        <v>#N/A</v>
      </c>
      <c r="CJ26" s="4" t="e">
        <f t="shared" si="29"/>
        <v>#N/A</v>
      </c>
      <c r="CL26">
        <f t="shared" si="30"/>
        <v>0.90361445783132532</v>
      </c>
      <c r="CM26">
        <f t="shared" si="31"/>
        <v>1</v>
      </c>
    </row>
    <row r="27" spans="2:91" ht="15.75" thickBot="1" x14ac:dyDescent="0.3">
      <c r="B27">
        <f t="shared" si="32"/>
        <v>19</v>
      </c>
      <c r="C27" s="16">
        <v>19</v>
      </c>
      <c r="D27" s="146">
        <f>IF('Front sheet'!$C28="","",'Front sheet'!$C28)</f>
        <v>45691</v>
      </c>
      <c r="E27" s="148">
        <f>IF('Front sheet'!E28="",NA(),'Front sheet'!E28)</f>
        <v>79</v>
      </c>
      <c r="F27" s="196">
        <f>IF('Front sheet'!D28="",NA(),'Front sheet'!D28/'Front sheet'!E28)</f>
        <v>0.79746835443037978</v>
      </c>
      <c r="G27" s="205">
        <f t="shared" ca="1" si="0"/>
        <v>0.87525423728813556</v>
      </c>
      <c r="H27" s="201">
        <f t="shared" ca="1" si="33"/>
        <v>0.98678321499369326</v>
      </c>
      <c r="I27" s="157">
        <f t="shared" ca="1" si="34"/>
        <v>0.76372525958257786</v>
      </c>
      <c r="J27" s="151">
        <f>IF('Front sheet'!E28="",NA(),'Front sheet'!D28)</f>
        <v>63</v>
      </c>
      <c r="K27" s="10">
        <f t="shared" si="1"/>
        <v>45691</v>
      </c>
      <c r="L27" s="9">
        <f t="shared" ca="1" si="35"/>
        <v>3.7176325901852582E-2</v>
      </c>
      <c r="M27" s="8">
        <f t="shared" ca="1" si="2"/>
        <v>0.11152897770555775</v>
      </c>
      <c r="N27">
        <f t="shared" ca="1" si="36"/>
        <v>-2.09234992890676</v>
      </c>
      <c r="O27" s="8">
        <f t="shared" ca="1" si="60"/>
        <v>2.8742813005414782</v>
      </c>
      <c r="P27">
        <f t="shared" ca="1" si="3"/>
        <v>0.16248395172399538</v>
      </c>
      <c r="Q27" s="8">
        <f ca="1">IF(ISERROR($F27),0,IF($F27&gt;$H27,MAX($Q$8:Q26)+1,0))</f>
        <v>0</v>
      </c>
      <c r="R27" s="8">
        <f ca="1">IF(ISERROR($F27),0,IF($F27&lt;$I27,MAX($R$8:R26)+1,0))</f>
        <v>0</v>
      </c>
      <c r="T27" s="8">
        <f t="shared" ca="1" si="4"/>
        <v>0</v>
      </c>
      <c r="U27" s="8">
        <f t="shared" ca="1" si="37"/>
        <v>0</v>
      </c>
      <c r="W27" s="8">
        <f t="shared" ca="1" si="6"/>
        <v>1</v>
      </c>
      <c r="X27" s="8">
        <f t="shared" ca="1" si="38"/>
        <v>0</v>
      </c>
      <c r="Z27" s="8">
        <f t="shared" si="8"/>
        <v>0</v>
      </c>
      <c r="AA27" s="8">
        <f t="shared" si="39"/>
        <v>0</v>
      </c>
      <c r="AC27" s="8">
        <f t="shared" si="10"/>
        <v>1</v>
      </c>
      <c r="AD27" s="8">
        <f t="shared" si="40"/>
        <v>0</v>
      </c>
      <c r="AF27" s="8">
        <f t="shared" ca="1" si="41"/>
        <v>1</v>
      </c>
      <c r="AG27" s="8">
        <f t="shared" ca="1" si="42"/>
        <v>0</v>
      </c>
      <c r="AH27" s="8">
        <f t="shared" ca="1" si="43"/>
        <v>0</v>
      </c>
      <c r="AI27" s="8">
        <f t="shared" ca="1" si="44"/>
        <v>0</v>
      </c>
      <c r="AK27" s="11">
        <f t="shared" si="12"/>
        <v>1</v>
      </c>
      <c r="AL27" s="8"/>
      <c r="AN27" s="8"/>
      <c r="AO27" s="8"/>
      <c r="AP27" s="8">
        <f>IF(C27&lt;=$E$3,IF(OR('Front sheet'!$Q$3="",'Front sheet'!$Q$3=0),NA(),'Front sheet'!$Q$3),NA())</f>
        <v>0.9</v>
      </c>
      <c r="AQ27" s="8" t="e">
        <f t="shared" ca="1" si="45"/>
        <v>#N/A</v>
      </c>
      <c r="AR27" s="8" t="e">
        <f t="shared" ca="1" si="46"/>
        <v>#N/A</v>
      </c>
      <c r="AS27" s="8" t="e">
        <f t="shared" ca="1" si="47"/>
        <v>#N/A</v>
      </c>
      <c r="AT27" s="8" t="e">
        <f t="shared" ca="1" si="48"/>
        <v>#N/A</v>
      </c>
      <c r="AU27" s="8" t="e">
        <f t="shared" si="49"/>
        <v>#N/A</v>
      </c>
      <c r="AV27" s="8" t="e">
        <f t="shared" ca="1" si="50"/>
        <v>#N/A</v>
      </c>
      <c r="AX27" s="7">
        <f t="shared" si="13"/>
        <v>45691</v>
      </c>
      <c r="AY27" s="2">
        <f t="shared" si="14"/>
        <v>2</v>
      </c>
      <c r="BA27" s="2">
        <v>19</v>
      </c>
      <c r="BB27" t="str">
        <f t="shared" ca="1" si="15"/>
        <v/>
      </c>
      <c r="BC27" s="14">
        <f t="shared" si="16"/>
        <v>45691</v>
      </c>
      <c r="BD27" s="5" t="e">
        <f t="shared" si="17"/>
        <v>#N/A</v>
      </c>
      <c r="BE27" s="5" t="e">
        <f t="shared" si="18"/>
        <v>#N/A</v>
      </c>
      <c r="BF27" s="5" t="e">
        <f t="shared" si="19"/>
        <v>#N/A</v>
      </c>
      <c r="BG27" s="5" t="e">
        <f t="shared" si="20"/>
        <v>#N/A</v>
      </c>
      <c r="BH27" s="5" t="e">
        <f t="shared" si="21"/>
        <v>#N/A</v>
      </c>
      <c r="BI27" t="str">
        <f t="shared" ca="1" si="22"/>
        <v/>
      </c>
      <c r="BJ27" s="158" t="e">
        <f t="shared" si="23"/>
        <v>#N/A</v>
      </c>
      <c r="BK27" s="158" t="e">
        <f t="shared" si="24"/>
        <v>#N/A</v>
      </c>
      <c r="BL27" s="158" t="e">
        <f t="shared" si="25"/>
        <v>#N/A</v>
      </c>
      <c r="BM27" s="158" t="e">
        <f t="shared" si="26"/>
        <v>#N/A</v>
      </c>
      <c r="BN27" s="19"/>
      <c r="BQ27" s="4">
        <v>19</v>
      </c>
      <c r="BR27" s="4" t="e">
        <f t="shared" si="51"/>
        <v>#N/A</v>
      </c>
      <c r="BS27" s="4" t="e">
        <f t="shared" si="52"/>
        <v>#N/A</v>
      </c>
      <c r="BT27" s="4" t="e">
        <f t="shared" si="53"/>
        <v>#N/A</v>
      </c>
      <c r="BV27" s="4">
        <v>19</v>
      </c>
      <c r="BW27" s="4" t="e">
        <f t="shared" si="54"/>
        <v>#N/A</v>
      </c>
      <c r="BX27" s="4" t="e">
        <f t="shared" si="55"/>
        <v>#N/A</v>
      </c>
      <c r="BZ27" s="4">
        <v>19</v>
      </c>
      <c r="CA27" s="4" t="e">
        <f t="shared" si="56"/>
        <v>#N/A</v>
      </c>
      <c r="CB27" s="4" t="e">
        <f t="shared" si="57"/>
        <v>#N/A</v>
      </c>
      <c r="CC27" s="4" t="e">
        <f t="shared" si="58"/>
        <v>#N/A</v>
      </c>
      <c r="CD27" s="4" t="e">
        <f t="shared" si="59"/>
        <v>#N/A</v>
      </c>
      <c r="CG27" s="4">
        <v>19</v>
      </c>
      <c r="CH27" s="4" t="e">
        <f t="shared" ca="1" si="27"/>
        <v>#N/A</v>
      </c>
      <c r="CI27" s="4" t="e">
        <f t="shared" ca="1" si="28"/>
        <v>#N/A</v>
      </c>
      <c r="CJ27" s="4">
        <f t="shared" ca="1" si="29"/>
        <v>1.0397937138104232</v>
      </c>
      <c r="CL27">
        <f t="shared" si="30"/>
        <v>0.79746835443037978</v>
      </c>
      <c r="CM27">
        <f t="shared" si="31"/>
        <v>1</v>
      </c>
    </row>
    <row r="28" spans="2:91" ht="15.75" thickBot="1" x14ac:dyDescent="0.3">
      <c r="B28">
        <f t="shared" si="32"/>
        <v>20</v>
      </c>
      <c r="C28" s="16">
        <v>20</v>
      </c>
      <c r="D28" s="146">
        <f>IF('Front sheet'!$C29="","",'Front sheet'!$C29)</f>
        <v>45698</v>
      </c>
      <c r="E28" s="148">
        <f>IF('Front sheet'!E29="",NA(),'Front sheet'!E29)</f>
        <v>80</v>
      </c>
      <c r="F28" s="196">
        <f>IF('Front sheet'!D29="",NA(),'Front sheet'!D29/'Front sheet'!E29)</f>
        <v>0.9375</v>
      </c>
      <c r="G28" s="205">
        <f t="shared" ca="1" si="0"/>
        <v>0.87525423728813556</v>
      </c>
      <c r="H28" s="201">
        <f t="shared" ca="1" si="33"/>
        <v>0.98608396686100885</v>
      </c>
      <c r="I28" s="157">
        <f t="shared" ca="1" si="34"/>
        <v>0.76442450771526227</v>
      </c>
      <c r="J28" s="151">
        <f>IF('Front sheet'!E29="",NA(),'Front sheet'!D29)</f>
        <v>75</v>
      </c>
      <c r="K28" s="10">
        <f t="shared" si="1"/>
        <v>45698</v>
      </c>
      <c r="L28" s="9">
        <f t="shared" ca="1" si="35"/>
        <v>3.6943243190957743E-2</v>
      </c>
      <c r="M28" s="8">
        <f t="shared" ca="1" si="2"/>
        <v>0.11082972957287324</v>
      </c>
      <c r="N28">
        <f t="shared" ca="1" si="36"/>
        <v>1.6849024973286526</v>
      </c>
      <c r="O28" s="8">
        <f t="shared" ca="1" si="60"/>
        <v>3.7772524262354126</v>
      </c>
      <c r="P28">
        <f t="shared" ca="1" si="3"/>
        <v>0.16146523352024605</v>
      </c>
      <c r="Q28" s="8">
        <f ca="1">IF(ISERROR($F28),0,IF($F28&gt;$H28,MAX($Q$8:Q27)+1,0))</f>
        <v>0</v>
      </c>
      <c r="R28" s="8">
        <f ca="1">IF(ISERROR($F28),0,IF($F28&lt;$I28,MAX($R$8:R27)+1,0))</f>
        <v>0</v>
      </c>
      <c r="T28" s="8">
        <f t="shared" ca="1" si="4"/>
        <v>1</v>
      </c>
      <c r="U28" s="8">
        <f t="shared" ca="1" si="37"/>
        <v>0</v>
      </c>
      <c r="W28" s="8">
        <f t="shared" ca="1" si="6"/>
        <v>0</v>
      </c>
      <c r="X28" s="8">
        <f t="shared" ca="1" si="38"/>
        <v>0</v>
      </c>
      <c r="Z28" s="8">
        <f t="shared" si="8"/>
        <v>1</v>
      </c>
      <c r="AA28" s="8">
        <f t="shared" si="39"/>
        <v>0</v>
      </c>
      <c r="AC28" s="8">
        <f t="shared" si="10"/>
        <v>0</v>
      </c>
      <c r="AD28" s="8">
        <f t="shared" si="40"/>
        <v>0</v>
      </c>
      <c r="AF28" s="8">
        <f t="shared" ca="1" si="41"/>
        <v>0</v>
      </c>
      <c r="AG28" s="8">
        <f t="shared" ca="1" si="42"/>
        <v>0</v>
      </c>
      <c r="AH28" s="8">
        <f t="shared" ca="1" si="43"/>
        <v>0</v>
      </c>
      <c r="AI28" s="8">
        <f t="shared" ca="1" si="44"/>
        <v>0</v>
      </c>
      <c r="AK28" s="11">
        <f t="shared" si="12"/>
        <v>1</v>
      </c>
      <c r="AL28" s="8"/>
      <c r="AN28" s="8"/>
      <c r="AO28" s="8"/>
      <c r="AP28" s="8">
        <f>IF(C28&lt;=$E$3,IF(OR('Front sheet'!$Q$3="",'Front sheet'!$Q$3=0),NA(),'Front sheet'!$Q$3),NA())</f>
        <v>0.9</v>
      </c>
      <c r="AQ28" s="8" t="e">
        <f t="shared" ca="1" si="45"/>
        <v>#N/A</v>
      </c>
      <c r="AR28" s="8" t="e">
        <f t="shared" ca="1" si="46"/>
        <v>#N/A</v>
      </c>
      <c r="AS28" s="8" t="e">
        <f t="shared" ca="1" si="47"/>
        <v>#N/A</v>
      </c>
      <c r="AT28" s="8" t="e">
        <f t="shared" ca="1" si="48"/>
        <v>#N/A</v>
      </c>
      <c r="AU28" s="8" t="e">
        <f t="shared" si="49"/>
        <v>#N/A</v>
      </c>
      <c r="AV28" s="8" t="e">
        <f t="shared" ca="1" si="50"/>
        <v>#N/A</v>
      </c>
      <c r="AX28" s="7">
        <f t="shared" si="13"/>
        <v>45698</v>
      </c>
      <c r="AY28" s="2">
        <f t="shared" si="14"/>
        <v>2</v>
      </c>
      <c r="BA28" s="2">
        <v>20</v>
      </c>
      <c r="BB28" t="str">
        <f t="shared" ca="1" si="15"/>
        <v/>
      </c>
      <c r="BC28" s="14">
        <f t="shared" si="16"/>
        <v>45698</v>
      </c>
      <c r="BD28" s="5" t="e">
        <f t="shared" si="17"/>
        <v>#N/A</v>
      </c>
      <c r="BE28" s="5" t="e">
        <f t="shared" si="18"/>
        <v>#N/A</v>
      </c>
      <c r="BF28" s="5" t="e">
        <f t="shared" si="19"/>
        <v>#N/A</v>
      </c>
      <c r="BG28" s="5" t="e">
        <f t="shared" si="20"/>
        <v>#N/A</v>
      </c>
      <c r="BH28" s="5" t="e">
        <f t="shared" si="21"/>
        <v>#N/A</v>
      </c>
      <c r="BI28" t="str">
        <f t="shared" ca="1" si="22"/>
        <v/>
      </c>
      <c r="BJ28" s="158" t="e">
        <f t="shared" si="23"/>
        <v>#N/A</v>
      </c>
      <c r="BK28" s="158" t="e">
        <f t="shared" si="24"/>
        <v>#N/A</v>
      </c>
      <c r="BL28" s="158" t="e">
        <f t="shared" si="25"/>
        <v>#N/A</v>
      </c>
      <c r="BM28" s="158" t="e">
        <f t="shared" si="26"/>
        <v>#N/A</v>
      </c>
      <c r="BN28" s="19"/>
      <c r="BQ28" s="4">
        <v>20</v>
      </c>
      <c r="BR28" s="4">
        <f t="shared" ca="1" si="51"/>
        <v>1.0397937138104232</v>
      </c>
      <c r="BS28" s="4" t="e">
        <f t="shared" ca="1" si="52"/>
        <v>#N/A</v>
      </c>
      <c r="BT28" s="4" t="e">
        <f t="shared" ca="1" si="53"/>
        <v>#N/A</v>
      </c>
      <c r="BV28" s="4">
        <v>20</v>
      </c>
      <c r="BW28" s="4" t="e">
        <f t="shared" si="54"/>
        <v>#N/A</v>
      </c>
      <c r="BX28" s="4" t="e">
        <f t="shared" si="55"/>
        <v>#N/A</v>
      </c>
      <c r="BZ28" s="4">
        <v>20</v>
      </c>
      <c r="CA28" s="4" t="e">
        <f t="shared" ca="1" si="56"/>
        <v>#N/A</v>
      </c>
      <c r="CB28" s="4" t="e">
        <f t="shared" ca="1" si="57"/>
        <v>#N/A</v>
      </c>
      <c r="CC28" s="4" t="e">
        <f t="shared" ca="1" si="58"/>
        <v>#N/A</v>
      </c>
      <c r="CD28" s="4" t="e">
        <f t="shared" ca="1" si="59"/>
        <v>#N/A</v>
      </c>
      <c r="CG28" s="4">
        <v>20</v>
      </c>
      <c r="CH28" s="4" t="e">
        <f t="shared" si="27"/>
        <v>#N/A</v>
      </c>
      <c r="CI28" s="4" t="e">
        <f t="shared" si="28"/>
        <v>#N/A</v>
      </c>
      <c r="CJ28" s="4" t="e">
        <f t="shared" si="29"/>
        <v>#N/A</v>
      </c>
      <c r="CL28">
        <f t="shared" si="30"/>
        <v>0.9375</v>
      </c>
      <c r="CM28">
        <f t="shared" si="31"/>
        <v>1</v>
      </c>
    </row>
    <row r="29" spans="2:91" ht="15.75" thickBot="1" x14ac:dyDescent="0.3">
      <c r="B29">
        <f t="shared" si="32"/>
        <v>0</v>
      </c>
      <c r="C29" s="13">
        <v>21</v>
      </c>
      <c r="D29" s="147" t="str">
        <f>IF('Front sheet'!$C30="","",'Front sheet'!$C30)</f>
        <v/>
      </c>
      <c r="E29" s="152" t="e">
        <f>IF('Front sheet'!E30="",NA(),'Front sheet'!E30)</f>
        <v>#N/A</v>
      </c>
      <c r="F29" s="197" t="e">
        <f>IF('Front sheet'!D30="",NA(),'Front sheet'!D30/'Front sheet'!E30)</f>
        <v>#N/A</v>
      </c>
      <c r="G29" s="207">
        <f t="shared" ca="1" si="0"/>
        <v>0.87525423728813556</v>
      </c>
      <c r="H29" s="202" t="e">
        <f t="shared" ca="1" si="33"/>
        <v>#N/A</v>
      </c>
      <c r="I29" s="193" t="e">
        <f t="shared" ca="1" si="34"/>
        <v>#N/A</v>
      </c>
      <c r="J29" s="153" t="e">
        <f>IF('Front sheet'!E30="",NA(),'Front sheet'!D30)</f>
        <v>#N/A</v>
      </c>
      <c r="K29" s="10" t="str">
        <f t="shared" si="1"/>
        <v/>
      </c>
      <c r="L29" s="9" t="e">
        <f t="shared" ca="1" si="35"/>
        <v>#N/A</v>
      </c>
      <c r="M29" s="8" t="e">
        <f t="shared" ca="1" si="2"/>
        <v>#N/A</v>
      </c>
      <c r="N29" t="e">
        <f t="shared" ca="1" si="36"/>
        <v>#N/A</v>
      </c>
      <c r="O29" s="8" t="e">
        <f t="shared" ca="1" si="60"/>
        <v>#N/A</v>
      </c>
      <c r="P29" t="e">
        <f t="shared" ca="1" si="3"/>
        <v>#N/A</v>
      </c>
      <c r="Q29" s="8">
        <f>IF(ISERROR($F29),0,IF($F29&gt;$H29,MAX($Q$8:Q28)+1,0))</f>
        <v>0</v>
      </c>
      <c r="R29" s="8">
        <f>IF(ISERROR($F29),0,IF($F29&lt;$I29,MAX($R$8:R28)+1,0))</f>
        <v>0</v>
      </c>
      <c r="T29" s="8">
        <f t="shared" si="4"/>
        <v>0</v>
      </c>
      <c r="U29" s="8">
        <f t="shared" ca="1" si="37"/>
        <v>0</v>
      </c>
      <c r="W29" s="8">
        <f t="shared" si="6"/>
        <v>0</v>
      </c>
      <c r="X29" s="8">
        <f t="shared" ca="1" si="38"/>
        <v>0</v>
      </c>
      <c r="Z29" s="8">
        <f t="shared" si="8"/>
        <v>0</v>
      </c>
      <c r="AA29" s="8">
        <f t="shared" si="39"/>
        <v>0</v>
      </c>
      <c r="AC29" s="8">
        <f t="shared" si="10"/>
        <v>0</v>
      </c>
      <c r="AD29" s="8">
        <f t="shared" si="40"/>
        <v>0</v>
      </c>
      <c r="AF29" s="8">
        <f t="shared" si="41"/>
        <v>0</v>
      </c>
      <c r="AG29" s="8">
        <f t="shared" si="42"/>
        <v>0</v>
      </c>
      <c r="AH29" s="8">
        <f t="shared" si="43"/>
        <v>0</v>
      </c>
      <c r="AI29" s="8">
        <f t="shared" si="44"/>
        <v>0</v>
      </c>
      <c r="AK29" s="11" t="e">
        <f t="shared" si="12"/>
        <v>#N/A</v>
      </c>
      <c r="AL29" s="8"/>
      <c r="AN29" s="8"/>
      <c r="AO29" s="8"/>
      <c r="AP29" s="8" t="e">
        <f>IF(C29&lt;=$E$3,IF(OR('Front sheet'!$Q$3="",'Front sheet'!$Q$3=0),NA(),'Front sheet'!$Q$3),NA())</f>
        <v>#N/A</v>
      </c>
      <c r="AQ29" s="8" t="e">
        <f t="shared" ca="1" si="45"/>
        <v>#N/A</v>
      </c>
      <c r="AR29" s="8" t="e">
        <f t="shared" ca="1" si="46"/>
        <v>#N/A</v>
      </c>
      <c r="AS29" s="8" t="e">
        <f t="shared" ca="1" si="47"/>
        <v>#N/A</v>
      </c>
      <c r="AT29" s="8" t="e">
        <f t="shared" ca="1" si="48"/>
        <v>#N/A</v>
      </c>
      <c r="AU29" s="8" t="e">
        <f t="shared" si="49"/>
        <v>#N/A</v>
      </c>
      <c r="AV29" s="8" t="e">
        <f t="shared" ca="1" si="50"/>
        <v>#N/A</v>
      </c>
      <c r="AX29" s="7" t="str">
        <f t="shared" si="13"/>
        <v/>
      </c>
      <c r="AY29" s="2" t="str">
        <f t="shared" si="14"/>
        <v/>
      </c>
      <c r="BA29" s="2">
        <v>21</v>
      </c>
      <c r="BB29">
        <f t="shared" ca="1" si="15"/>
        <v>3</v>
      </c>
      <c r="BC29" s="14" t="str">
        <f t="shared" si="16"/>
        <v/>
      </c>
      <c r="BD29" s="5" t="e">
        <f t="shared" si="17"/>
        <v>#N/A</v>
      </c>
      <c r="BE29" s="5" t="e">
        <f t="shared" si="18"/>
        <v>#N/A</v>
      </c>
      <c r="BF29" s="5" t="e">
        <f t="shared" si="19"/>
        <v>#N/A</v>
      </c>
      <c r="BG29" s="5" t="e">
        <f t="shared" si="20"/>
        <v>#N/A</v>
      </c>
      <c r="BH29" s="5" t="e">
        <f t="shared" si="21"/>
        <v>#N/A</v>
      </c>
      <c r="BI29">
        <f t="shared" ca="1" si="22"/>
        <v>1</v>
      </c>
      <c r="BJ29" s="158" t="e">
        <f t="shared" si="23"/>
        <v>#N/A</v>
      </c>
      <c r="BK29" s="158" t="e">
        <f t="shared" si="24"/>
        <v>#N/A</v>
      </c>
      <c r="BL29" s="158" t="e">
        <f t="shared" si="25"/>
        <v>#N/A</v>
      </c>
      <c r="BM29" s="158" t="e">
        <f t="shared" si="26"/>
        <v>#N/A</v>
      </c>
      <c r="BN29" s="19"/>
      <c r="BQ29" s="4">
        <v>21</v>
      </c>
      <c r="BR29" s="4" t="e">
        <f t="shared" si="51"/>
        <v>#N/A</v>
      </c>
      <c r="BS29" s="4" t="e">
        <f t="shared" si="52"/>
        <v>#N/A</v>
      </c>
      <c r="BT29" s="4" t="e">
        <f t="shared" si="53"/>
        <v>#N/A</v>
      </c>
      <c r="BV29" s="4">
        <v>21</v>
      </c>
      <c r="BW29" s="4" t="e">
        <f t="shared" si="54"/>
        <v>#N/A</v>
      </c>
      <c r="BX29" s="4" t="e">
        <f t="shared" si="55"/>
        <v>#N/A</v>
      </c>
      <c r="BZ29" s="4">
        <v>21</v>
      </c>
      <c r="CA29" s="4" t="e">
        <f t="shared" si="56"/>
        <v>#N/A</v>
      </c>
      <c r="CB29" s="4" t="e">
        <f t="shared" si="57"/>
        <v>#N/A</v>
      </c>
      <c r="CC29" s="4" t="e">
        <f t="shared" si="58"/>
        <v>#N/A</v>
      </c>
      <c r="CD29" s="4" t="e">
        <f t="shared" si="59"/>
        <v>#N/A</v>
      </c>
      <c r="CG29" s="4">
        <v>21</v>
      </c>
      <c r="CH29" s="4" t="e">
        <f t="shared" si="27"/>
        <v>#N/A</v>
      </c>
      <c r="CI29" s="4" t="e">
        <f t="shared" si="28"/>
        <v>#N/A</v>
      </c>
      <c r="CJ29" s="4" t="e">
        <f t="shared" si="29"/>
        <v>#N/A</v>
      </c>
      <c r="CL29">
        <f t="shared" si="30"/>
        <v>0</v>
      </c>
      <c r="CM29">
        <f t="shared" si="31"/>
        <v>0</v>
      </c>
    </row>
    <row r="30" spans="2:91" ht="15.75" thickBot="1" x14ac:dyDescent="0.3">
      <c r="B30">
        <f t="shared" si="32"/>
        <v>0</v>
      </c>
      <c r="C30" s="18">
        <v>22</v>
      </c>
      <c r="D30" s="154" t="str">
        <f>IF('Front sheet'!$C31="","",'Front sheet'!$C31)</f>
        <v/>
      </c>
      <c r="E30" s="149" t="e">
        <f>IF('Front sheet'!E31="",NA(),'Front sheet'!E31)</f>
        <v>#N/A</v>
      </c>
      <c r="F30" s="198" t="e">
        <f>IF('Front sheet'!D31="",NA(),'Front sheet'!D31/'Front sheet'!E31)</f>
        <v>#N/A</v>
      </c>
      <c r="G30" s="205">
        <f t="shared" ca="1" si="0"/>
        <v>0.87525423728813556</v>
      </c>
      <c r="H30" s="203" t="e">
        <f t="shared" ca="1" si="33"/>
        <v>#N/A</v>
      </c>
      <c r="I30" s="183" t="e">
        <f t="shared" ca="1" si="34"/>
        <v>#N/A</v>
      </c>
      <c r="J30" s="184" t="e">
        <f>IF('Front sheet'!E31="",NA(),'Front sheet'!D31)</f>
        <v>#N/A</v>
      </c>
      <c r="K30" s="10" t="str">
        <f t="shared" si="1"/>
        <v/>
      </c>
      <c r="L30" s="9" t="e">
        <f t="shared" ca="1" si="35"/>
        <v>#N/A</v>
      </c>
      <c r="M30" s="8" t="e">
        <f t="shared" ca="1" si="2"/>
        <v>#N/A</v>
      </c>
      <c r="N30" t="e">
        <f t="shared" ca="1" si="36"/>
        <v>#N/A</v>
      </c>
      <c r="O30" s="8" t="e">
        <f t="shared" ca="1" si="60"/>
        <v>#N/A</v>
      </c>
      <c r="P30" t="e">
        <f t="shared" ca="1" si="3"/>
        <v>#N/A</v>
      </c>
      <c r="Q30" s="8">
        <f>IF(ISERROR($F30),0,IF($F30&gt;$H30,MAX($Q$8:Q29)+1,0))</f>
        <v>0</v>
      </c>
      <c r="R30" s="8">
        <f>IF(ISERROR($F30),0,IF($F30&lt;$I30,MAX($R$8:R29)+1,0))</f>
        <v>0</v>
      </c>
      <c r="T30" s="8">
        <f t="shared" si="4"/>
        <v>0</v>
      </c>
      <c r="U30" s="8">
        <f t="shared" ca="1" si="37"/>
        <v>0</v>
      </c>
      <c r="W30" s="8">
        <f t="shared" si="6"/>
        <v>0</v>
      </c>
      <c r="X30" s="8">
        <f t="shared" ca="1" si="38"/>
        <v>0</v>
      </c>
      <c r="Z30" s="8">
        <f t="shared" si="8"/>
        <v>0</v>
      </c>
      <c r="AA30" s="8">
        <f t="shared" si="39"/>
        <v>0</v>
      </c>
      <c r="AC30" s="8">
        <f t="shared" si="10"/>
        <v>0</v>
      </c>
      <c r="AD30" s="8">
        <f t="shared" si="40"/>
        <v>0</v>
      </c>
      <c r="AF30" s="8">
        <f t="shared" si="41"/>
        <v>0</v>
      </c>
      <c r="AG30" s="8">
        <f t="shared" si="42"/>
        <v>0</v>
      </c>
      <c r="AH30" s="8">
        <f t="shared" si="43"/>
        <v>0</v>
      </c>
      <c r="AI30" s="8">
        <f t="shared" si="44"/>
        <v>0</v>
      </c>
      <c r="AK30" s="11" t="e">
        <f t="shared" si="12"/>
        <v>#N/A</v>
      </c>
      <c r="AL30" s="8"/>
      <c r="AN30" s="8"/>
      <c r="AO30" s="8"/>
      <c r="AP30" s="8" t="e">
        <f>IF(C30&lt;=$E$3,IF(OR('Front sheet'!$Q$3="",'Front sheet'!$Q$3=0),NA(),'Front sheet'!$Q$3),NA())</f>
        <v>#N/A</v>
      </c>
      <c r="AQ30" s="8" t="e">
        <f t="shared" ca="1" si="45"/>
        <v>#N/A</v>
      </c>
      <c r="AR30" s="8" t="e">
        <f t="shared" ca="1" si="46"/>
        <v>#N/A</v>
      </c>
      <c r="AS30" s="8" t="e">
        <f t="shared" ca="1" si="47"/>
        <v>#N/A</v>
      </c>
      <c r="AT30" s="8" t="e">
        <f t="shared" ca="1" si="48"/>
        <v>#N/A</v>
      </c>
      <c r="AU30" s="8" t="e">
        <f t="shared" si="49"/>
        <v>#N/A</v>
      </c>
      <c r="AV30" s="8" t="e">
        <f t="shared" ca="1" si="50"/>
        <v>#N/A</v>
      </c>
      <c r="AX30" s="7" t="str">
        <f t="shared" si="13"/>
        <v/>
      </c>
      <c r="AY30" s="2" t="str">
        <f t="shared" si="14"/>
        <v/>
      </c>
      <c r="BA30" s="2">
        <v>22</v>
      </c>
      <c r="BB30">
        <f t="shared" ca="1" si="15"/>
        <v>3</v>
      </c>
      <c r="BC30" s="14" t="str">
        <f t="shared" si="16"/>
        <v/>
      </c>
      <c r="BD30" s="5" t="e">
        <f t="shared" si="17"/>
        <v>#N/A</v>
      </c>
      <c r="BE30" s="5" t="e">
        <f t="shared" si="18"/>
        <v>#N/A</v>
      </c>
      <c r="BF30" s="5" t="e">
        <f t="shared" si="19"/>
        <v>#N/A</v>
      </c>
      <c r="BG30" s="5" t="e">
        <f t="shared" si="20"/>
        <v>#N/A</v>
      </c>
      <c r="BH30" s="5" t="e">
        <f t="shared" si="21"/>
        <v>#N/A</v>
      </c>
      <c r="BI30">
        <f t="shared" ca="1" si="22"/>
        <v>1</v>
      </c>
      <c r="BJ30" s="158" t="e">
        <f t="shared" si="23"/>
        <v>#N/A</v>
      </c>
      <c r="BK30" s="158" t="e">
        <f t="shared" si="24"/>
        <v>#N/A</v>
      </c>
      <c r="BL30" s="158" t="e">
        <f t="shared" si="25"/>
        <v>#N/A</v>
      </c>
      <c r="BM30" s="158" t="e">
        <f t="shared" si="26"/>
        <v>#N/A</v>
      </c>
      <c r="BN30" s="19"/>
      <c r="BQ30" s="4">
        <v>22</v>
      </c>
      <c r="BR30" s="4" t="e">
        <f t="shared" si="51"/>
        <v>#N/A</v>
      </c>
      <c r="BS30" s="4" t="e">
        <f t="shared" si="52"/>
        <v>#N/A</v>
      </c>
      <c r="BT30" s="4" t="e">
        <f t="shared" si="53"/>
        <v>#N/A</v>
      </c>
      <c r="BV30" s="4">
        <v>22</v>
      </c>
      <c r="BW30" s="4" t="e">
        <f t="shared" si="54"/>
        <v>#N/A</v>
      </c>
      <c r="BX30" s="4" t="e">
        <f t="shared" si="55"/>
        <v>#N/A</v>
      </c>
      <c r="BZ30" s="4">
        <v>22</v>
      </c>
      <c r="CA30" s="4" t="e">
        <f t="shared" si="56"/>
        <v>#N/A</v>
      </c>
      <c r="CB30" s="4" t="e">
        <f t="shared" si="57"/>
        <v>#N/A</v>
      </c>
      <c r="CC30" s="4" t="e">
        <f t="shared" si="58"/>
        <v>#N/A</v>
      </c>
      <c r="CD30" s="4" t="e">
        <f t="shared" si="59"/>
        <v>#N/A</v>
      </c>
      <c r="CG30" s="4">
        <v>22</v>
      </c>
      <c r="CH30" s="4" t="e">
        <f t="shared" si="27"/>
        <v>#N/A</v>
      </c>
      <c r="CI30" s="4" t="e">
        <f t="shared" si="28"/>
        <v>#N/A</v>
      </c>
      <c r="CJ30" s="4" t="e">
        <f t="shared" si="29"/>
        <v>#N/A</v>
      </c>
      <c r="CL30">
        <f t="shared" si="30"/>
        <v>0</v>
      </c>
      <c r="CM30">
        <f t="shared" si="31"/>
        <v>0</v>
      </c>
    </row>
    <row r="31" spans="2:91" ht="15.75" thickBot="1" x14ac:dyDescent="0.3">
      <c r="B31">
        <f t="shared" si="32"/>
        <v>0</v>
      </c>
      <c r="C31" s="16">
        <v>23</v>
      </c>
      <c r="D31" s="146" t="str">
        <f>IF('Front sheet'!$C32="","",'Front sheet'!$C32)</f>
        <v/>
      </c>
      <c r="E31" s="148" t="e">
        <f>IF('Front sheet'!E32="",NA(),'Front sheet'!E32)</f>
        <v>#N/A</v>
      </c>
      <c r="F31" s="196" t="e">
        <f>IF('Front sheet'!D32="",NA(),'Front sheet'!D32/'Front sheet'!E32)</f>
        <v>#N/A</v>
      </c>
      <c r="G31" s="205">
        <f t="shared" ca="1" si="0"/>
        <v>0.87525423728813556</v>
      </c>
      <c r="H31" s="201" t="e">
        <f t="shared" ca="1" si="33"/>
        <v>#N/A</v>
      </c>
      <c r="I31" s="157" t="e">
        <f t="shared" ca="1" si="34"/>
        <v>#N/A</v>
      </c>
      <c r="J31" s="151" t="e">
        <f>IF('Front sheet'!E32="",NA(),'Front sheet'!D32)</f>
        <v>#N/A</v>
      </c>
      <c r="K31" s="10" t="str">
        <f t="shared" si="1"/>
        <v/>
      </c>
      <c r="L31" s="9" t="e">
        <f t="shared" ca="1" si="35"/>
        <v>#N/A</v>
      </c>
      <c r="M31" s="8" t="e">
        <f t="shared" ca="1" si="2"/>
        <v>#N/A</v>
      </c>
      <c r="N31" t="e">
        <f t="shared" ca="1" si="36"/>
        <v>#N/A</v>
      </c>
      <c r="O31" s="8" t="e">
        <f t="shared" ca="1" si="60"/>
        <v>#N/A</v>
      </c>
      <c r="P31" t="e">
        <f t="shared" ca="1" si="3"/>
        <v>#N/A</v>
      </c>
      <c r="Q31" s="8">
        <f>IF(ISERROR($F31),0,IF($F31&gt;$H31,MAX($Q$8:Q30)+1,0))</f>
        <v>0</v>
      </c>
      <c r="R31" s="8">
        <f>IF(ISERROR($F31),0,IF($F31&lt;$I31,MAX($R$8:R30)+1,0))</f>
        <v>0</v>
      </c>
      <c r="T31" s="8">
        <f t="shared" si="4"/>
        <v>0</v>
      </c>
      <c r="U31" s="8">
        <f t="shared" ca="1" si="37"/>
        <v>0</v>
      </c>
      <c r="W31" s="8">
        <f t="shared" si="6"/>
        <v>0</v>
      </c>
      <c r="X31" s="8">
        <f t="shared" ca="1" si="38"/>
        <v>0</v>
      </c>
      <c r="Z31" s="8">
        <f t="shared" si="8"/>
        <v>0</v>
      </c>
      <c r="AA31" s="8">
        <f t="shared" si="39"/>
        <v>0</v>
      </c>
      <c r="AC31" s="8">
        <f t="shared" si="10"/>
        <v>0</v>
      </c>
      <c r="AD31" s="8">
        <f t="shared" si="40"/>
        <v>0</v>
      </c>
      <c r="AF31" s="8">
        <f t="shared" si="41"/>
        <v>0</v>
      </c>
      <c r="AG31" s="8">
        <f t="shared" si="42"/>
        <v>0</v>
      </c>
      <c r="AH31" s="8">
        <f t="shared" si="43"/>
        <v>0</v>
      </c>
      <c r="AI31" s="8">
        <f t="shared" si="44"/>
        <v>0</v>
      </c>
      <c r="AK31" s="11" t="e">
        <f t="shared" si="12"/>
        <v>#N/A</v>
      </c>
      <c r="AL31" s="8"/>
      <c r="AN31" s="8"/>
      <c r="AO31" s="8"/>
      <c r="AP31" s="8" t="e">
        <f>IF(C31&lt;=$E$3,IF(OR('Front sheet'!$Q$3="",'Front sheet'!$Q$3=0),NA(),'Front sheet'!$Q$3),NA())</f>
        <v>#N/A</v>
      </c>
      <c r="AQ31" s="8" t="e">
        <f t="shared" ca="1" si="45"/>
        <v>#N/A</v>
      </c>
      <c r="AR31" s="8" t="e">
        <f t="shared" ca="1" si="46"/>
        <v>#N/A</v>
      </c>
      <c r="AS31" s="8" t="e">
        <f t="shared" ca="1" si="47"/>
        <v>#N/A</v>
      </c>
      <c r="AT31" s="8" t="e">
        <f t="shared" ca="1" si="48"/>
        <v>#N/A</v>
      </c>
      <c r="AU31" s="8" t="e">
        <f t="shared" si="49"/>
        <v>#N/A</v>
      </c>
      <c r="AV31" s="8" t="e">
        <f t="shared" ca="1" si="50"/>
        <v>#N/A</v>
      </c>
      <c r="AX31" s="7" t="str">
        <f t="shared" si="13"/>
        <v/>
      </c>
      <c r="AY31" s="2" t="str">
        <f t="shared" si="14"/>
        <v/>
      </c>
      <c r="BA31" s="2">
        <v>23</v>
      </c>
      <c r="BB31">
        <f t="shared" ca="1" si="15"/>
        <v>3</v>
      </c>
      <c r="BC31" s="14" t="str">
        <f t="shared" si="16"/>
        <v/>
      </c>
      <c r="BD31" s="5" t="e">
        <f t="shared" si="17"/>
        <v>#N/A</v>
      </c>
      <c r="BE31" s="5" t="e">
        <f t="shared" si="18"/>
        <v>#N/A</v>
      </c>
      <c r="BF31" s="5" t="e">
        <f t="shared" si="19"/>
        <v>#N/A</v>
      </c>
      <c r="BG31" s="5" t="e">
        <f t="shared" si="20"/>
        <v>#N/A</v>
      </c>
      <c r="BH31" s="5" t="e">
        <f t="shared" si="21"/>
        <v>#N/A</v>
      </c>
      <c r="BI31">
        <f t="shared" ca="1" si="22"/>
        <v>1</v>
      </c>
      <c r="BJ31" s="158" t="e">
        <f t="shared" si="23"/>
        <v>#N/A</v>
      </c>
      <c r="BK31" s="158" t="e">
        <f t="shared" si="24"/>
        <v>#N/A</v>
      </c>
      <c r="BL31" s="158" t="e">
        <f t="shared" si="25"/>
        <v>#N/A</v>
      </c>
      <c r="BM31" s="158" t="e">
        <f t="shared" si="26"/>
        <v>#N/A</v>
      </c>
      <c r="BN31" s="19"/>
      <c r="BQ31" s="4">
        <v>23</v>
      </c>
      <c r="BR31" s="4" t="e">
        <f t="shared" si="51"/>
        <v>#N/A</v>
      </c>
      <c r="BS31" s="4" t="e">
        <f t="shared" si="52"/>
        <v>#N/A</v>
      </c>
      <c r="BT31" s="4" t="e">
        <f t="shared" si="53"/>
        <v>#N/A</v>
      </c>
      <c r="BV31" s="4">
        <v>23</v>
      </c>
      <c r="BW31" s="4" t="e">
        <f t="shared" si="54"/>
        <v>#N/A</v>
      </c>
      <c r="BX31" s="4" t="e">
        <f t="shared" si="55"/>
        <v>#N/A</v>
      </c>
      <c r="BZ31" s="4">
        <v>23</v>
      </c>
      <c r="CA31" s="4" t="e">
        <f t="shared" si="56"/>
        <v>#N/A</v>
      </c>
      <c r="CB31" s="4" t="e">
        <f t="shared" si="57"/>
        <v>#N/A</v>
      </c>
      <c r="CC31" s="4" t="e">
        <f t="shared" si="58"/>
        <v>#N/A</v>
      </c>
      <c r="CD31" s="4" t="e">
        <f t="shared" si="59"/>
        <v>#N/A</v>
      </c>
      <c r="CG31" s="4">
        <v>23</v>
      </c>
      <c r="CH31" s="4" t="e">
        <f t="shared" si="27"/>
        <v>#N/A</v>
      </c>
      <c r="CI31" s="4" t="e">
        <f t="shared" si="28"/>
        <v>#N/A</v>
      </c>
      <c r="CJ31" s="4" t="e">
        <f t="shared" si="29"/>
        <v>#N/A</v>
      </c>
      <c r="CL31">
        <f t="shared" si="30"/>
        <v>0</v>
      </c>
      <c r="CM31">
        <f t="shared" si="31"/>
        <v>0</v>
      </c>
    </row>
    <row r="32" spans="2:91" ht="15.75" thickBot="1" x14ac:dyDescent="0.3">
      <c r="B32">
        <f t="shared" si="32"/>
        <v>0</v>
      </c>
      <c r="C32" s="16">
        <v>24</v>
      </c>
      <c r="D32" s="146" t="str">
        <f>IF('Front sheet'!$C33="","",'Front sheet'!$C33)</f>
        <v/>
      </c>
      <c r="E32" s="148" t="e">
        <f>IF('Front sheet'!E33="",NA(),'Front sheet'!E33)</f>
        <v>#N/A</v>
      </c>
      <c r="F32" s="196" t="e">
        <f>IF('Front sheet'!D33="",NA(),'Front sheet'!D33/'Front sheet'!E33)</f>
        <v>#N/A</v>
      </c>
      <c r="G32" s="205">
        <f t="shared" ca="1" si="0"/>
        <v>0.87525423728813556</v>
      </c>
      <c r="H32" s="201" t="e">
        <f t="shared" ca="1" si="33"/>
        <v>#N/A</v>
      </c>
      <c r="I32" s="157" t="e">
        <f t="shared" ca="1" si="34"/>
        <v>#N/A</v>
      </c>
      <c r="J32" s="151" t="e">
        <f>IF('Front sheet'!E33="",NA(),'Front sheet'!D33)</f>
        <v>#N/A</v>
      </c>
      <c r="K32" s="10" t="str">
        <f t="shared" si="1"/>
        <v/>
      </c>
      <c r="L32" s="9" t="e">
        <f t="shared" ca="1" si="35"/>
        <v>#N/A</v>
      </c>
      <c r="M32" s="8" t="e">
        <f t="shared" ca="1" si="2"/>
        <v>#N/A</v>
      </c>
      <c r="N32" t="e">
        <f t="shared" ca="1" si="36"/>
        <v>#N/A</v>
      </c>
      <c r="O32" s="8" t="e">
        <f t="shared" ca="1" si="60"/>
        <v>#N/A</v>
      </c>
      <c r="P32" t="e">
        <f t="shared" ca="1" si="3"/>
        <v>#N/A</v>
      </c>
      <c r="Q32" s="8">
        <f>IF(ISERROR($F32),0,IF($F32&gt;$H32,MAX($Q$8:Q31)+1,0))</f>
        <v>0</v>
      </c>
      <c r="R32" s="8">
        <f>IF(ISERROR($F32),0,IF($F32&lt;$I32,MAX($R$8:R31)+1,0))</f>
        <v>0</v>
      </c>
      <c r="T32" s="8">
        <f t="shared" si="4"/>
        <v>0</v>
      </c>
      <c r="U32" s="8">
        <f t="shared" ca="1" si="37"/>
        <v>0</v>
      </c>
      <c r="W32" s="8">
        <f t="shared" si="6"/>
        <v>0</v>
      </c>
      <c r="X32" s="8">
        <f t="shared" ca="1" si="38"/>
        <v>0</v>
      </c>
      <c r="Z32" s="8">
        <f t="shared" si="8"/>
        <v>0</v>
      </c>
      <c r="AA32" s="8">
        <f t="shared" si="39"/>
        <v>0</v>
      </c>
      <c r="AC32" s="8">
        <f t="shared" si="10"/>
        <v>0</v>
      </c>
      <c r="AD32" s="8">
        <f t="shared" si="40"/>
        <v>0</v>
      </c>
      <c r="AF32" s="8">
        <f t="shared" si="41"/>
        <v>0</v>
      </c>
      <c r="AG32" s="8">
        <f t="shared" si="42"/>
        <v>0</v>
      </c>
      <c r="AH32" s="8">
        <f t="shared" si="43"/>
        <v>0</v>
      </c>
      <c r="AI32" s="8">
        <f t="shared" si="44"/>
        <v>0</v>
      </c>
      <c r="AK32" s="11" t="e">
        <f t="shared" si="12"/>
        <v>#N/A</v>
      </c>
      <c r="AL32" s="8"/>
      <c r="AN32" s="8"/>
      <c r="AO32" s="8"/>
      <c r="AP32" s="8" t="e">
        <f>IF(C32&lt;=$E$3,IF(OR('Front sheet'!$Q$3="",'Front sheet'!$Q$3=0),NA(),'Front sheet'!$Q$3),NA())</f>
        <v>#N/A</v>
      </c>
      <c r="AQ32" s="8" t="e">
        <f t="shared" ca="1" si="45"/>
        <v>#N/A</v>
      </c>
      <c r="AR32" s="8" t="e">
        <f t="shared" ca="1" si="46"/>
        <v>#N/A</v>
      </c>
      <c r="AS32" s="8" t="e">
        <f t="shared" ca="1" si="47"/>
        <v>#N/A</v>
      </c>
      <c r="AT32" s="8" t="e">
        <f t="shared" ca="1" si="48"/>
        <v>#N/A</v>
      </c>
      <c r="AU32" s="8" t="e">
        <f t="shared" si="49"/>
        <v>#N/A</v>
      </c>
      <c r="AV32" s="8" t="e">
        <f t="shared" ca="1" si="50"/>
        <v>#N/A</v>
      </c>
      <c r="AX32" s="7" t="str">
        <f t="shared" si="13"/>
        <v/>
      </c>
      <c r="AY32" s="2" t="str">
        <f t="shared" si="14"/>
        <v/>
      </c>
      <c r="BA32" s="2">
        <v>24</v>
      </c>
      <c r="BB32">
        <f t="shared" ca="1" si="15"/>
        <v>3</v>
      </c>
      <c r="BC32" s="14" t="str">
        <f t="shared" si="16"/>
        <v/>
      </c>
      <c r="BD32" s="5" t="e">
        <f t="shared" si="17"/>
        <v>#N/A</v>
      </c>
      <c r="BE32" s="5" t="e">
        <f t="shared" si="18"/>
        <v>#N/A</v>
      </c>
      <c r="BF32" s="5" t="e">
        <f t="shared" si="19"/>
        <v>#N/A</v>
      </c>
      <c r="BG32" s="5" t="e">
        <f t="shared" si="20"/>
        <v>#N/A</v>
      </c>
      <c r="BH32" s="5" t="e">
        <f t="shared" si="21"/>
        <v>#N/A</v>
      </c>
      <c r="BI32">
        <f t="shared" ca="1" si="22"/>
        <v>1</v>
      </c>
      <c r="BJ32" s="158" t="e">
        <f t="shared" si="23"/>
        <v>#N/A</v>
      </c>
      <c r="BK32" s="158" t="e">
        <f t="shared" si="24"/>
        <v>#N/A</v>
      </c>
      <c r="BL32" s="158" t="e">
        <f t="shared" si="25"/>
        <v>#N/A</v>
      </c>
      <c r="BM32" s="158" t="e">
        <f t="shared" si="26"/>
        <v>#N/A</v>
      </c>
      <c r="BN32" s="19"/>
      <c r="BQ32" s="4">
        <v>24</v>
      </c>
      <c r="BR32" s="4" t="e">
        <f t="shared" si="51"/>
        <v>#N/A</v>
      </c>
      <c r="BS32" s="4" t="e">
        <f t="shared" si="52"/>
        <v>#N/A</v>
      </c>
      <c r="BT32" s="4" t="e">
        <f t="shared" si="53"/>
        <v>#N/A</v>
      </c>
      <c r="BV32" s="4">
        <v>24</v>
      </c>
      <c r="BW32" s="4" t="e">
        <f t="shared" si="54"/>
        <v>#N/A</v>
      </c>
      <c r="BX32" s="4" t="e">
        <f t="shared" si="55"/>
        <v>#N/A</v>
      </c>
      <c r="BZ32" s="4">
        <v>24</v>
      </c>
      <c r="CA32" s="4" t="e">
        <f t="shared" si="56"/>
        <v>#N/A</v>
      </c>
      <c r="CB32" s="4" t="e">
        <f t="shared" si="57"/>
        <v>#N/A</v>
      </c>
      <c r="CC32" s="4" t="e">
        <f t="shared" si="58"/>
        <v>#N/A</v>
      </c>
      <c r="CD32" s="4" t="e">
        <f t="shared" si="59"/>
        <v>#N/A</v>
      </c>
      <c r="CG32" s="4">
        <v>24</v>
      </c>
      <c r="CH32" s="4" t="e">
        <f t="shared" si="27"/>
        <v>#N/A</v>
      </c>
      <c r="CI32" s="4" t="e">
        <f t="shared" si="28"/>
        <v>#N/A</v>
      </c>
      <c r="CJ32" s="4" t="e">
        <f t="shared" si="29"/>
        <v>#N/A</v>
      </c>
      <c r="CL32">
        <f t="shared" si="30"/>
        <v>0</v>
      </c>
      <c r="CM32">
        <f t="shared" si="31"/>
        <v>0</v>
      </c>
    </row>
    <row r="33" spans="2:91" ht="15.75" thickBot="1" x14ac:dyDescent="0.3">
      <c r="B33">
        <f t="shared" si="32"/>
        <v>0</v>
      </c>
      <c r="C33" s="16">
        <v>25</v>
      </c>
      <c r="D33" s="146" t="str">
        <f>IF('Front sheet'!$C34="","",'Front sheet'!$C34)</f>
        <v/>
      </c>
      <c r="E33" s="148" t="e">
        <f>IF('Front sheet'!E34="",NA(),'Front sheet'!E34)</f>
        <v>#N/A</v>
      </c>
      <c r="F33" s="196" t="e">
        <f>IF('Front sheet'!D34="",NA(),'Front sheet'!D34/'Front sheet'!E34)</f>
        <v>#N/A</v>
      </c>
      <c r="G33" s="205">
        <f t="shared" ca="1" si="0"/>
        <v>0.87525423728813556</v>
      </c>
      <c r="H33" s="201" t="e">
        <f t="shared" ca="1" si="33"/>
        <v>#N/A</v>
      </c>
      <c r="I33" s="157" t="e">
        <f t="shared" ca="1" si="34"/>
        <v>#N/A</v>
      </c>
      <c r="J33" s="151" t="e">
        <f>IF('Front sheet'!E34="",NA(),'Front sheet'!D34)</f>
        <v>#N/A</v>
      </c>
      <c r="K33" s="10" t="str">
        <f t="shared" si="1"/>
        <v/>
      </c>
      <c r="L33" s="9" t="e">
        <f t="shared" ca="1" si="35"/>
        <v>#N/A</v>
      </c>
      <c r="M33" s="8" t="e">
        <f t="shared" ca="1" si="2"/>
        <v>#N/A</v>
      </c>
      <c r="N33" t="e">
        <f t="shared" ca="1" si="36"/>
        <v>#N/A</v>
      </c>
      <c r="O33" s="8" t="e">
        <f t="shared" ca="1" si="60"/>
        <v>#N/A</v>
      </c>
      <c r="P33" t="e">
        <f t="shared" ca="1" si="3"/>
        <v>#N/A</v>
      </c>
      <c r="Q33" s="8">
        <f>IF(ISERROR($F33),0,IF($F33&gt;$H33,MAX($Q$8:Q32)+1,0))</f>
        <v>0</v>
      </c>
      <c r="R33" s="8">
        <f>IF(ISERROR($F33),0,IF($F33&lt;$I33,MAX($R$8:R32)+1,0))</f>
        <v>0</v>
      </c>
      <c r="T33" s="8">
        <f t="shared" si="4"/>
        <v>0</v>
      </c>
      <c r="U33" s="8">
        <f t="shared" ca="1" si="37"/>
        <v>0</v>
      </c>
      <c r="W33" s="8">
        <f t="shared" si="6"/>
        <v>0</v>
      </c>
      <c r="X33" s="8">
        <f t="shared" ca="1" si="38"/>
        <v>0</v>
      </c>
      <c r="Z33" s="8">
        <f t="shared" si="8"/>
        <v>0</v>
      </c>
      <c r="AA33" s="8">
        <f t="shared" si="39"/>
        <v>0</v>
      </c>
      <c r="AC33" s="8">
        <f t="shared" si="10"/>
        <v>0</v>
      </c>
      <c r="AD33" s="8">
        <f t="shared" si="40"/>
        <v>0</v>
      </c>
      <c r="AF33" s="8">
        <f t="shared" si="41"/>
        <v>0</v>
      </c>
      <c r="AG33" s="8">
        <f t="shared" si="42"/>
        <v>0</v>
      </c>
      <c r="AH33" s="8">
        <f t="shared" si="43"/>
        <v>0</v>
      </c>
      <c r="AI33" s="8">
        <f t="shared" si="44"/>
        <v>0</v>
      </c>
      <c r="AK33" s="11" t="e">
        <f t="shared" si="12"/>
        <v>#N/A</v>
      </c>
      <c r="AL33" s="8"/>
      <c r="AN33" s="8"/>
      <c r="AO33" s="8"/>
      <c r="AP33" s="8" t="e">
        <f>IF(C33&lt;=$E$3,IF(OR('Front sheet'!$Q$3="",'Front sheet'!$Q$3=0),NA(),'Front sheet'!$Q$3),NA())</f>
        <v>#N/A</v>
      </c>
      <c r="AQ33" s="8" t="e">
        <f t="shared" ca="1" si="45"/>
        <v>#N/A</v>
      </c>
      <c r="AR33" s="8" t="e">
        <f t="shared" ca="1" si="46"/>
        <v>#N/A</v>
      </c>
      <c r="AS33" s="8" t="e">
        <f t="shared" ca="1" si="47"/>
        <v>#N/A</v>
      </c>
      <c r="AT33" s="8" t="e">
        <f t="shared" ca="1" si="48"/>
        <v>#N/A</v>
      </c>
      <c r="AU33" s="8" t="e">
        <f t="shared" si="49"/>
        <v>#N/A</v>
      </c>
      <c r="AV33" s="8" t="e">
        <f t="shared" ca="1" si="50"/>
        <v>#N/A</v>
      </c>
      <c r="AX33" s="7" t="str">
        <f t="shared" si="13"/>
        <v/>
      </c>
      <c r="AY33" s="2" t="str">
        <f t="shared" si="14"/>
        <v/>
      </c>
      <c r="BA33" s="2">
        <v>25</v>
      </c>
      <c r="BB33">
        <f t="shared" ca="1" si="15"/>
        <v>3</v>
      </c>
      <c r="BC33" s="14" t="str">
        <f t="shared" si="16"/>
        <v/>
      </c>
      <c r="BD33" s="5" t="e">
        <f t="shared" si="17"/>
        <v>#N/A</v>
      </c>
      <c r="BE33" s="5" t="e">
        <f t="shared" si="18"/>
        <v>#N/A</v>
      </c>
      <c r="BF33" s="5" t="e">
        <f t="shared" si="19"/>
        <v>#N/A</v>
      </c>
      <c r="BG33" s="5" t="e">
        <f t="shared" si="20"/>
        <v>#N/A</v>
      </c>
      <c r="BH33" s="5" t="e">
        <f t="shared" si="21"/>
        <v>#N/A</v>
      </c>
      <c r="BI33">
        <f t="shared" ca="1" si="22"/>
        <v>1</v>
      </c>
      <c r="BJ33" s="158" t="e">
        <f t="shared" si="23"/>
        <v>#N/A</v>
      </c>
      <c r="BK33" s="158" t="e">
        <f t="shared" si="24"/>
        <v>#N/A</v>
      </c>
      <c r="BL33" s="158" t="e">
        <f t="shared" si="25"/>
        <v>#N/A</v>
      </c>
      <c r="BM33" s="158" t="e">
        <f t="shared" si="26"/>
        <v>#N/A</v>
      </c>
      <c r="BN33" s="19"/>
      <c r="BQ33" s="4">
        <v>25</v>
      </c>
      <c r="BR33" s="4" t="e">
        <f t="shared" si="51"/>
        <v>#N/A</v>
      </c>
      <c r="BS33" s="4" t="e">
        <f t="shared" si="52"/>
        <v>#N/A</v>
      </c>
      <c r="BT33" s="4" t="e">
        <f t="shared" si="53"/>
        <v>#N/A</v>
      </c>
      <c r="BV33" s="4">
        <v>25</v>
      </c>
      <c r="BW33" s="4" t="e">
        <f t="shared" si="54"/>
        <v>#N/A</v>
      </c>
      <c r="BX33" s="4" t="e">
        <f t="shared" si="55"/>
        <v>#N/A</v>
      </c>
      <c r="BZ33" s="4">
        <v>25</v>
      </c>
      <c r="CA33" s="4" t="e">
        <f t="shared" si="56"/>
        <v>#N/A</v>
      </c>
      <c r="CB33" s="4" t="e">
        <f t="shared" si="57"/>
        <v>#N/A</v>
      </c>
      <c r="CC33" s="4" t="e">
        <f t="shared" si="58"/>
        <v>#N/A</v>
      </c>
      <c r="CD33" s="4" t="e">
        <f t="shared" si="59"/>
        <v>#N/A</v>
      </c>
      <c r="CG33" s="4">
        <v>25</v>
      </c>
      <c r="CH33" s="4" t="e">
        <f t="shared" si="27"/>
        <v>#N/A</v>
      </c>
      <c r="CI33" s="4" t="e">
        <f t="shared" si="28"/>
        <v>#N/A</v>
      </c>
      <c r="CJ33" s="4" t="e">
        <f t="shared" si="29"/>
        <v>#N/A</v>
      </c>
      <c r="CL33">
        <f t="shared" si="30"/>
        <v>0</v>
      </c>
      <c r="CM33">
        <f t="shared" si="31"/>
        <v>0</v>
      </c>
    </row>
    <row r="34" spans="2:91" ht="15.75" thickBot="1" x14ac:dyDescent="0.3">
      <c r="B34">
        <f t="shared" si="32"/>
        <v>0</v>
      </c>
      <c r="C34" s="16">
        <v>26</v>
      </c>
      <c r="D34" s="146" t="str">
        <f>IF('Front sheet'!$C35="","",'Front sheet'!$C35)</f>
        <v/>
      </c>
      <c r="E34" s="148" t="e">
        <f>IF('Front sheet'!E35="",NA(),'Front sheet'!E35)</f>
        <v>#N/A</v>
      </c>
      <c r="F34" s="196" t="e">
        <f>IF('Front sheet'!D35="",NA(),'Front sheet'!D35/'Front sheet'!E35)</f>
        <v>#N/A</v>
      </c>
      <c r="G34" s="205">
        <f t="shared" ca="1" si="0"/>
        <v>0.87525423728813556</v>
      </c>
      <c r="H34" s="201" t="e">
        <f t="shared" ca="1" si="33"/>
        <v>#N/A</v>
      </c>
      <c r="I34" s="157" t="e">
        <f t="shared" ca="1" si="34"/>
        <v>#N/A</v>
      </c>
      <c r="J34" s="151" t="e">
        <f>IF('Front sheet'!E35="",NA(),'Front sheet'!D35)</f>
        <v>#N/A</v>
      </c>
      <c r="K34" s="10" t="str">
        <f t="shared" si="1"/>
        <v/>
      </c>
      <c r="L34" s="9" t="e">
        <f t="shared" ca="1" si="35"/>
        <v>#N/A</v>
      </c>
      <c r="M34" s="8" t="e">
        <f t="shared" ca="1" si="2"/>
        <v>#N/A</v>
      </c>
      <c r="N34" t="e">
        <f t="shared" ca="1" si="36"/>
        <v>#N/A</v>
      </c>
      <c r="O34" s="8" t="e">
        <f t="shared" ca="1" si="60"/>
        <v>#N/A</v>
      </c>
      <c r="P34" t="e">
        <f t="shared" ca="1" si="3"/>
        <v>#N/A</v>
      </c>
      <c r="Q34" s="8">
        <f>IF(ISERROR($F34),0,IF($F34&gt;$H34,MAX($Q$8:Q33)+1,0))</f>
        <v>0</v>
      </c>
      <c r="R34" s="8">
        <f>IF(ISERROR($F34),0,IF($F34&lt;$I34,MAX($R$8:R33)+1,0))</f>
        <v>0</v>
      </c>
      <c r="T34" s="8">
        <f t="shared" si="4"/>
        <v>0</v>
      </c>
      <c r="U34" s="8">
        <f t="shared" ca="1" si="37"/>
        <v>0</v>
      </c>
      <c r="W34" s="8">
        <f t="shared" si="6"/>
        <v>0</v>
      </c>
      <c r="X34" s="8">
        <f t="shared" ca="1" si="38"/>
        <v>0</v>
      </c>
      <c r="Z34" s="8">
        <f t="shared" si="8"/>
        <v>0</v>
      </c>
      <c r="AA34" s="8">
        <f t="shared" si="39"/>
        <v>0</v>
      </c>
      <c r="AC34" s="8">
        <f t="shared" si="10"/>
        <v>0</v>
      </c>
      <c r="AD34" s="8">
        <f t="shared" si="40"/>
        <v>0</v>
      </c>
      <c r="AF34" s="8">
        <f t="shared" si="41"/>
        <v>0</v>
      </c>
      <c r="AG34" s="8">
        <f t="shared" si="42"/>
        <v>0</v>
      </c>
      <c r="AH34" s="8">
        <f t="shared" si="43"/>
        <v>0</v>
      </c>
      <c r="AI34" s="8">
        <f t="shared" si="44"/>
        <v>0</v>
      </c>
      <c r="AK34" s="11" t="e">
        <f t="shared" si="12"/>
        <v>#N/A</v>
      </c>
      <c r="AL34" s="8"/>
      <c r="AN34" s="8"/>
      <c r="AO34" s="8"/>
      <c r="AP34" s="8" t="e">
        <f>IF(C34&lt;=$E$3,IF(OR('Front sheet'!$Q$3="",'Front sheet'!$Q$3=0),NA(),'Front sheet'!$Q$3),NA())</f>
        <v>#N/A</v>
      </c>
      <c r="AQ34" s="8" t="e">
        <f t="shared" ca="1" si="45"/>
        <v>#N/A</v>
      </c>
      <c r="AR34" s="8" t="e">
        <f t="shared" ca="1" si="46"/>
        <v>#N/A</v>
      </c>
      <c r="AS34" s="8" t="e">
        <f t="shared" ca="1" si="47"/>
        <v>#N/A</v>
      </c>
      <c r="AT34" s="8" t="e">
        <f t="shared" ca="1" si="48"/>
        <v>#N/A</v>
      </c>
      <c r="AU34" s="8" t="e">
        <f t="shared" si="49"/>
        <v>#N/A</v>
      </c>
      <c r="AV34" s="8" t="e">
        <f t="shared" ca="1" si="50"/>
        <v>#N/A</v>
      </c>
      <c r="AX34" s="7" t="str">
        <f t="shared" si="13"/>
        <v/>
      </c>
      <c r="AY34" s="2" t="str">
        <f t="shared" si="14"/>
        <v/>
      </c>
      <c r="BA34" s="2">
        <v>26</v>
      </c>
      <c r="BB34">
        <f t="shared" ca="1" si="15"/>
        <v>3</v>
      </c>
      <c r="BC34" s="14" t="str">
        <f t="shared" si="16"/>
        <v/>
      </c>
      <c r="BD34" s="5" t="e">
        <f t="shared" si="17"/>
        <v>#N/A</v>
      </c>
      <c r="BE34" s="5" t="e">
        <f t="shared" si="18"/>
        <v>#N/A</v>
      </c>
      <c r="BF34" s="5" t="e">
        <f t="shared" si="19"/>
        <v>#N/A</v>
      </c>
      <c r="BG34" s="5" t="e">
        <f t="shared" si="20"/>
        <v>#N/A</v>
      </c>
      <c r="BH34" s="5" t="e">
        <f t="shared" si="21"/>
        <v>#N/A</v>
      </c>
      <c r="BI34">
        <f t="shared" ca="1" si="22"/>
        <v>1</v>
      </c>
      <c r="BJ34" s="158" t="e">
        <f t="shared" si="23"/>
        <v>#N/A</v>
      </c>
      <c r="BK34" s="158" t="e">
        <f t="shared" si="24"/>
        <v>#N/A</v>
      </c>
      <c r="BL34" s="158" t="e">
        <f t="shared" si="25"/>
        <v>#N/A</v>
      </c>
      <c r="BM34" s="158" t="e">
        <f t="shared" si="26"/>
        <v>#N/A</v>
      </c>
      <c r="BN34" s="19"/>
      <c r="BQ34" s="4">
        <v>26</v>
      </c>
      <c r="BR34" s="4" t="e">
        <f t="shared" si="51"/>
        <v>#N/A</v>
      </c>
      <c r="BS34" s="4" t="e">
        <f t="shared" si="52"/>
        <v>#N/A</v>
      </c>
      <c r="BT34" s="4" t="e">
        <f t="shared" si="53"/>
        <v>#N/A</v>
      </c>
      <c r="BV34" s="4">
        <v>26</v>
      </c>
      <c r="BW34" s="4" t="e">
        <f t="shared" si="54"/>
        <v>#N/A</v>
      </c>
      <c r="BX34" s="4" t="e">
        <f t="shared" si="55"/>
        <v>#N/A</v>
      </c>
      <c r="BZ34" s="4">
        <v>26</v>
      </c>
      <c r="CA34" s="4" t="e">
        <f t="shared" si="56"/>
        <v>#N/A</v>
      </c>
      <c r="CB34" s="4" t="e">
        <f t="shared" si="57"/>
        <v>#N/A</v>
      </c>
      <c r="CC34" s="4" t="e">
        <f t="shared" si="58"/>
        <v>#N/A</v>
      </c>
      <c r="CD34" s="4" t="e">
        <f t="shared" si="59"/>
        <v>#N/A</v>
      </c>
      <c r="CG34" s="4">
        <v>26</v>
      </c>
      <c r="CH34" s="4" t="e">
        <f t="shared" si="27"/>
        <v>#N/A</v>
      </c>
      <c r="CI34" s="4" t="e">
        <f t="shared" si="28"/>
        <v>#N/A</v>
      </c>
      <c r="CJ34" s="4" t="e">
        <f t="shared" si="29"/>
        <v>#N/A</v>
      </c>
      <c r="CL34">
        <f t="shared" si="30"/>
        <v>0</v>
      </c>
      <c r="CM34">
        <f t="shared" si="31"/>
        <v>0</v>
      </c>
    </row>
    <row r="35" spans="2:91" ht="15.75" thickBot="1" x14ac:dyDescent="0.3">
      <c r="B35">
        <f t="shared" si="32"/>
        <v>0</v>
      </c>
      <c r="C35" s="16">
        <v>27</v>
      </c>
      <c r="D35" s="146" t="str">
        <f>IF('Front sheet'!$C36="","",'Front sheet'!$C36)</f>
        <v/>
      </c>
      <c r="E35" s="148" t="e">
        <f>IF('Front sheet'!E36="",NA(),'Front sheet'!E36)</f>
        <v>#N/A</v>
      </c>
      <c r="F35" s="196" t="e">
        <f>IF('Front sheet'!D36="",NA(),'Front sheet'!D36/'Front sheet'!E36)</f>
        <v>#N/A</v>
      </c>
      <c r="G35" s="205">
        <f t="shared" ca="1" si="0"/>
        <v>0.87525423728813556</v>
      </c>
      <c r="H35" s="201" t="e">
        <f t="shared" ca="1" si="33"/>
        <v>#N/A</v>
      </c>
      <c r="I35" s="157" t="e">
        <f t="shared" ca="1" si="34"/>
        <v>#N/A</v>
      </c>
      <c r="J35" s="151" t="e">
        <f>IF('Front sheet'!E36="",NA(),'Front sheet'!D36)</f>
        <v>#N/A</v>
      </c>
      <c r="K35" s="10" t="str">
        <f t="shared" si="1"/>
        <v/>
      </c>
      <c r="L35" s="9" t="e">
        <f t="shared" ca="1" si="35"/>
        <v>#N/A</v>
      </c>
      <c r="M35" s="8" t="e">
        <f t="shared" ca="1" si="2"/>
        <v>#N/A</v>
      </c>
      <c r="N35" t="e">
        <f t="shared" ca="1" si="36"/>
        <v>#N/A</v>
      </c>
      <c r="O35" s="8" t="e">
        <f t="shared" ca="1" si="60"/>
        <v>#N/A</v>
      </c>
      <c r="P35" t="e">
        <f t="shared" ca="1" si="3"/>
        <v>#N/A</v>
      </c>
      <c r="Q35" s="8">
        <f>IF(ISERROR($F35),0,IF($F35&gt;$H35,MAX($Q$8:Q34)+1,0))</f>
        <v>0</v>
      </c>
      <c r="R35" s="8">
        <f>IF(ISERROR($F35),0,IF($F35&lt;$I35,MAX($R$8:R34)+1,0))</f>
        <v>0</v>
      </c>
      <c r="T35" s="8">
        <f t="shared" si="4"/>
        <v>0</v>
      </c>
      <c r="U35" s="8">
        <f t="shared" ca="1" si="37"/>
        <v>0</v>
      </c>
      <c r="W35" s="8">
        <f t="shared" si="6"/>
        <v>0</v>
      </c>
      <c r="X35" s="8">
        <f t="shared" ca="1" si="38"/>
        <v>0</v>
      </c>
      <c r="Z35" s="8">
        <f t="shared" si="8"/>
        <v>0</v>
      </c>
      <c r="AA35" s="8">
        <f t="shared" si="39"/>
        <v>0</v>
      </c>
      <c r="AC35" s="8">
        <f t="shared" si="10"/>
        <v>0</v>
      </c>
      <c r="AD35" s="8">
        <f t="shared" si="40"/>
        <v>0</v>
      </c>
      <c r="AF35" s="8">
        <f t="shared" si="41"/>
        <v>0</v>
      </c>
      <c r="AG35" s="8">
        <f t="shared" si="42"/>
        <v>0</v>
      </c>
      <c r="AH35" s="8">
        <f t="shared" si="43"/>
        <v>0</v>
      </c>
      <c r="AI35" s="8">
        <f t="shared" si="44"/>
        <v>0</v>
      </c>
      <c r="AK35" s="11" t="e">
        <f t="shared" si="12"/>
        <v>#N/A</v>
      </c>
      <c r="AL35" s="8"/>
      <c r="AN35" s="8"/>
      <c r="AO35" s="8"/>
      <c r="AP35" s="8" t="e">
        <f>IF(C35&lt;=$E$3,IF(OR('Front sheet'!$Q$3="",'Front sheet'!$Q$3=0),NA(),'Front sheet'!$Q$3),NA())</f>
        <v>#N/A</v>
      </c>
      <c r="AQ35" s="8" t="e">
        <f t="shared" ca="1" si="45"/>
        <v>#N/A</v>
      </c>
      <c r="AR35" s="8" t="e">
        <f t="shared" ca="1" si="46"/>
        <v>#N/A</v>
      </c>
      <c r="AS35" s="8" t="e">
        <f t="shared" ca="1" si="47"/>
        <v>#N/A</v>
      </c>
      <c r="AT35" s="8" t="e">
        <f t="shared" ca="1" si="48"/>
        <v>#N/A</v>
      </c>
      <c r="AU35" s="8" t="e">
        <f t="shared" si="49"/>
        <v>#N/A</v>
      </c>
      <c r="AV35" s="8" t="e">
        <f t="shared" ca="1" si="50"/>
        <v>#N/A</v>
      </c>
      <c r="AX35" s="7" t="str">
        <f t="shared" si="13"/>
        <v/>
      </c>
      <c r="AY35" s="2" t="str">
        <f t="shared" si="14"/>
        <v/>
      </c>
      <c r="BA35" s="2">
        <v>27</v>
      </c>
      <c r="BB35">
        <f t="shared" ca="1" si="15"/>
        <v>3</v>
      </c>
      <c r="BC35" s="14" t="str">
        <f t="shared" si="16"/>
        <v/>
      </c>
      <c r="BD35" s="5" t="e">
        <f t="shared" si="17"/>
        <v>#N/A</v>
      </c>
      <c r="BE35" s="5" t="e">
        <f t="shared" si="18"/>
        <v>#N/A</v>
      </c>
      <c r="BF35" s="5" t="e">
        <f t="shared" si="19"/>
        <v>#N/A</v>
      </c>
      <c r="BG35" s="5" t="e">
        <f t="shared" si="20"/>
        <v>#N/A</v>
      </c>
      <c r="BH35" s="5" t="e">
        <f t="shared" si="21"/>
        <v>#N/A</v>
      </c>
      <c r="BI35">
        <f t="shared" ca="1" si="22"/>
        <v>1</v>
      </c>
      <c r="BJ35" s="158" t="e">
        <f t="shared" si="23"/>
        <v>#N/A</v>
      </c>
      <c r="BK35" s="158" t="e">
        <f t="shared" si="24"/>
        <v>#N/A</v>
      </c>
      <c r="BL35" s="158" t="e">
        <f t="shared" si="25"/>
        <v>#N/A</v>
      </c>
      <c r="BM35" s="158" t="e">
        <f t="shared" si="26"/>
        <v>#N/A</v>
      </c>
      <c r="BN35" s="19"/>
      <c r="BQ35" s="4">
        <v>27</v>
      </c>
      <c r="BR35" s="4" t="e">
        <f t="shared" si="51"/>
        <v>#N/A</v>
      </c>
      <c r="BS35" s="4" t="e">
        <f t="shared" si="52"/>
        <v>#N/A</v>
      </c>
      <c r="BT35" s="4" t="e">
        <f t="shared" si="53"/>
        <v>#N/A</v>
      </c>
      <c r="BV35" s="4">
        <v>27</v>
      </c>
      <c r="BW35" s="4" t="e">
        <f t="shared" si="54"/>
        <v>#N/A</v>
      </c>
      <c r="BX35" s="4" t="e">
        <f t="shared" si="55"/>
        <v>#N/A</v>
      </c>
      <c r="BZ35" s="4">
        <v>27</v>
      </c>
      <c r="CA35" s="4" t="e">
        <f t="shared" si="56"/>
        <v>#N/A</v>
      </c>
      <c r="CB35" s="4" t="e">
        <f t="shared" si="57"/>
        <v>#N/A</v>
      </c>
      <c r="CC35" s="4" t="e">
        <f t="shared" si="58"/>
        <v>#N/A</v>
      </c>
      <c r="CD35" s="4" t="e">
        <f t="shared" si="59"/>
        <v>#N/A</v>
      </c>
      <c r="CG35" s="4">
        <v>27</v>
      </c>
      <c r="CH35" s="4" t="e">
        <f t="shared" si="27"/>
        <v>#N/A</v>
      </c>
      <c r="CI35" s="4" t="e">
        <f t="shared" si="28"/>
        <v>#N/A</v>
      </c>
      <c r="CJ35" s="4" t="e">
        <f t="shared" si="29"/>
        <v>#N/A</v>
      </c>
      <c r="CL35">
        <f t="shared" si="30"/>
        <v>0</v>
      </c>
      <c r="CM35">
        <f t="shared" si="31"/>
        <v>0</v>
      </c>
    </row>
    <row r="36" spans="2:91" ht="15.75" thickBot="1" x14ac:dyDescent="0.3">
      <c r="B36">
        <f t="shared" si="32"/>
        <v>0</v>
      </c>
      <c r="C36" s="13">
        <v>28</v>
      </c>
      <c r="D36" s="147" t="str">
        <f>IF('Front sheet'!$C37="","",'Front sheet'!$C37)</f>
        <v/>
      </c>
      <c r="E36" s="152" t="e">
        <f>IF('Front sheet'!E37="",NA(),'Front sheet'!E37)</f>
        <v>#N/A</v>
      </c>
      <c r="F36" s="197" t="e">
        <f>IF('Front sheet'!D37="",NA(),'Front sheet'!D37/'Front sheet'!E37)</f>
        <v>#N/A</v>
      </c>
      <c r="G36" s="205">
        <f t="shared" ca="1" si="0"/>
        <v>0.87525423728813556</v>
      </c>
      <c r="H36" s="202" t="e">
        <f t="shared" ca="1" si="33"/>
        <v>#N/A</v>
      </c>
      <c r="I36" s="193" t="e">
        <f t="shared" ca="1" si="34"/>
        <v>#N/A</v>
      </c>
      <c r="J36" s="153" t="e">
        <f>IF('Front sheet'!E37="",NA(),'Front sheet'!D37)</f>
        <v>#N/A</v>
      </c>
      <c r="K36" s="10" t="str">
        <f t="shared" si="1"/>
        <v/>
      </c>
      <c r="L36" s="9" t="e">
        <f t="shared" ca="1" si="35"/>
        <v>#N/A</v>
      </c>
      <c r="M36" s="8" t="e">
        <f t="shared" ca="1" si="2"/>
        <v>#N/A</v>
      </c>
      <c r="N36" t="e">
        <f t="shared" ca="1" si="36"/>
        <v>#N/A</v>
      </c>
      <c r="O36" s="8" t="e">
        <f t="shared" ca="1" si="60"/>
        <v>#N/A</v>
      </c>
      <c r="P36" t="e">
        <f t="shared" ca="1" si="3"/>
        <v>#N/A</v>
      </c>
      <c r="Q36" s="8">
        <f>IF(ISERROR($F36),0,IF($F36&gt;$H36,MAX($Q$8:Q35)+1,0))</f>
        <v>0</v>
      </c>
      <c r="R36" s="8">
        <f>IF(ISERROR($F36),0,IF($F36&lt;$I36,MAX($R$8:R35)+1,0))</f>
        <v>0</v>
      </c>
      <c r="T36" s="8">
        <f t="shared" si="4"/>
        <v>0</v>
      </c>
      <c r="U36" s="8">
        <f t="shared" ca="1" si="37"/>
        <v>0</v>
      </c>
      <c r="W36" s="8">
        <f t="shared" si="6"/>
        <v>0</v>
      </c>
      <c r="X36" s="8">
        <f t="shared" ca="1" si="38"/>
        <v>0</v>
      </c>
      <c r="Z36" s="8">
        <f t="shared" si="8"/>
        <v>0</v>
      </c>
      <c r="AA36" s="8">
        <f t="shared" si="39"/>
        <v>0</v>
      </c>
      <c r="AC36" s="8">
        <f t="shared" si="10"/>
        <v>0</v>
      </c>
      <c r="AD36" s="8">
        <f t="shared" si="40"/>
        <v>0</v>
      </c>
      <c r="AF36" s="8">
        <f t="shared" si="41"/>
        <v>0</v>
      </c>
      <c r="AG36" s="8">
        <f t="shared" si="42"/>
        <v>0</v>
      </c>
      <c r="AH36" s="8">
        <f t="shared" si="43"/>
        <v>0</v>
      </c>
      <c r="AI36" s="8">
        <f t="shared" si="44"/>
        <v>0</v>
      </c>
      <c r="AK36" s="11" t="e">
        <f t="shared" si="12"/>
        <v>#N/A</v>
      </c>
      <c r="AL36" s="8"/>
      <c r="AN36" s="8"/>
      <c r="AO36" s="8"/>
      <c r="AP36" s="8" t="e">
        <f>IF(C36&lt;=$E$3,IF(OR('Front sheet'!$Q$3="",'Front sheet'!$Q$3=0),NA(),'Front sheet'!$Q$3),NA())</f>
        <v>#N/A</v>
      </c>
      <c r="AQ36" s="8" t="e">
        <f t="shared" ca="1" si="45"/>
        <v>#N/A</v>
      </c>
      <c r="AR36" s="8" t="e">
        <f t="shared" ca="1" si="46"/>
        <v>#N/A</v>
      </c>
      <c r="AS36" s="8" t="e">
        <f t="shared" ca="1" si="47"/>
        <v>#N/A</v>
      </c>
      <c r="AT36" s="8" t="e">
        <f t="shared" ca="1" si="48"/>
        <v>#N/A</v>
      </c>
      <c r="AU36" s="8" t="e">
        <f t="shared" si="49"/>
        <v>#N/A</v>
      </c>
      <c r="AV36" s="8" t="e">
        <f t="shared" ca="1" si="50"/>
        <v>#N/A</v>
      </c>
      <c r="AX36" s="7" t="str">
        <f t="shared" si="13"/>
        <v/>
      </c>
      <c r="AY36" s="2" t="str">
        <f t="shared" si="14"/>
        <v/>
      </c>
      <c r="BA36" s="2">
        <v>28</v>
      </c>
      <c r="BB36">
        <f t="shared" ca="1" si="15"/>
        <v>3</v>
      </c>
      <c r="BC36" s="14" t="str">
        <f t="shared" si="16"/>
        <v/>
      </c>
      <c r="BD36" s="5" t="e">
        <f t="shared" si="17"/>
        <v>#N/A</v>
      </c>
      <c r="BE36" s="5" t="e">
        <f t="shared" si="18"/>
        <v>#N/A</v>
      </c>
      <c r="BF36" s="5" t="e">
        <f t="shared" si="19"/>
        <v>#N/A</v>
      </c>
      <c r="BG36" s="5" t="e">
        <f t="shared" si="20"/>
        <v>#N/A</v>
      </c>
      <c r="BH36" s="5" t="e">
        <f t="shared" si="21"/>
        <v>#N/A</v>
      </c>
      <c r="BI36">
        <f t="shared" ca="1" si="22"/>
        <v>1</v>
      </c>
      <c r="BJ36" s="158" t="e">
        <f t="shared" si="23"/>
        <v>#N/A</v>
      </c>
      <c r="BK36" s="158" t="e">
        <f t="shared" si="24"/>
        <v>#N/A</v>
      </c>
      <c r="BL36" s="158" t="e">
        <f t="shared" si="25"/>
        <v>#N/A</v>
      </c>
      <c r="BM36" s="158" t="e">
        <f t="shared" si="26"/>
        <v>#N/A</v>
      </c>
      <c r="BN36" s="19"/>
      <c r="BQ36" s="4">
        <v>28</v>
      </c>
      <c r="BR36" s="4" t="e">
        <f t="shared" si="51"/>
        <v>#N/A</v>
      </c>
      <c r="BS36" s="4" t="e">
        <f t="shared" si="52"/>
        <v>#N/A</v>
      </c>
      <c r="BT36" s="4" t="e">
        <f t="shared" si="53"/>
        <v>#N/A</v>
      </c>
      <c r="BV36" s="4">
        <v>28</v>
      </c>
      <c r="BW36" s="4" t="e">
        <f t="shared" si="54"/>
        <v>#N/A</v>
      </c>
      <c r="BX36" s="4" t="e">
        <f t="shared" si="55"/>
        <v>#N/A</v>
      </c>
      <c r="BZ36" s="4">
        <v>28</v>
      </c>
      <c r="CA36" s="4" t="e">
        <f t="shared" si="56"/>
        <v>#N/A</v>
      </c>
      <c r="CB36" s="4" t="e">
        <f t="shared" si="57"/>
        <v>#N/A</v>
      </c>
      <c r="CC36" s="4" t="e">
        <f t="shared" si="58"/>
        <v>#N/A</v>
      </c>
      <c r="CD36" s="4" t="e">
        <f t="shared" si="59"/>
        <v>#N/A</v>
      </c>
      <c r="CG36" s="4">
        <v>28</v>
      </c>
      <c r="CH36" s="4" t="e">
        <f t="shared" si="27"/>
        <v>#N/A</v>
      </c>
      <c r="CI36" s="4" t="e">
        <f t="shared" si="28"/>
        <v>#N/A</v>
      </c>
      <c r="CJ36" s="4" t="e">
        <f t="shared" si="29"/>
        <v>#N/A</v>
      </c>
      <c r="CL36">
        <f t="shared" si="30"/>
        <v>0</v>
      </c>
      <c r="CM36">
        <f t="shared" si="31"/>
        <v>0</v>
      </c>
    </row>
    <row r="37" spans="2:91" ht="15.75" thickBot="1" x14ac:dyDescent="0.3">
      <c r="B37">
        <f>IF(ISERROR(J37),0,C37)</f>
        <v>0</v>
      </c>
      <c r="C37" s="18">
        <v>29</v>
      </c>
      <c r="D37" s="146" t="str">
        <f>IF('Front sheet'!$F10="","",'Front sheet'!$F10)</f>
        <v/>
      </c>
      <c r="E37" s="149" t="e">
        <f>IF('Front sheet'!H10="",NA(),'Front sheet'!H10)</f>
        <v>#N/A</v>
      </c>
      <c r="F37" s="195" t="e">
        <f>IF('Front sheet'!H10="",NA(),'Front sheet'!G10/'Front sheet'!H10)</f>
        <v>#N/A</v>
      </c>
      <c r="G37" s="206">
        <f t="shared" ca="1" si="0"/>
        <v>0.87525423728813556</v>
      </c>
      <c r="H37" s="200" t="e">
        <f t="shared" ca="1" si="33"/>
        <v>#N/A</v>
      </c>
      <c r="I37" s="192" t="e">
        <f t="shared" ca="1" si="34"/>
        <v>#N/A</v>
      </c>
      <c r="J37" s="150" t="e">
        <f>IF('Front sheet'!H10="",NA(),'Front sheet'!G10)</f>
        <v>#N/A</v>
      </c>
      <c r="K37" s="10" t="str">
        <f t="shared" si="1"/>
        <v/>
      </c>
      <c r="L37" s="9" t="e">
        <f t="shared" ca="1" si="35"/>
        <v>#N/A</v>
      </c>
      <c r="M37" s="8" t="e">
        <f t="shared" ca="1" si="2"/>
        <v>#N/A</v>
      </c>
      <c r="N37" t="e">
        <f t="shared" ca="1" si="36"/>
        <v>#N/A</v>
      </c>
      <c r="O37" s="8" t="e">
        <f t="shared" ca="1" si="60"/>
        <v>#N/A</v>
      </c>
      <c r="P37" t="e">
        <f t="shared" ca="1" si="3"/>
        <v>#N/A</v>
      </c>
      <c r="Q37" s="8">
        <f>IF(ISERROR($F37),0,IF($F37&gt;$H37,MAX($Q$8:Q36)+1,0))</f>
        <v>0</v>
      </c>
      <c r="R37" s="8">
        <f>IF(ISERROR($F37),0,IF($F37&lt;$I37,MAX($R$8:R36)+1,0))</f>
        <v>0</v>
      </c>
      <c r="T37" s="8">
        <f t="shared" si="4"/>
        <v>0</v>
      </c>
      <c r="U37" s="8">
        <f t="shared" ca="1" si="37"/>
        <v>0</v>
      </c>
      <c r="W37" s="8">
        <f t="shared" si="6"/>
        <v>0</v>
      </c>
      <c r="X37" s="8">
        <f t="shared" ca="1" si="38"/>
        <v>0</v>
      </c>
      <c r="Z37" s="8">
        <f t="shared" si="8"/>
        <v>0</v>
      </c>
      <c r="AA37" s="8">
        <f t="shared" si="39"/>
        <v>0</v>
      </c>
      <c r="AC37" s="8">
        <f t="shared" si="10"/>
        <v>0</v>
      </c>
      <c r="AD37" s="8">
        <f t="shared" si="40"/>
        <v>0</v>
      </c>
      <c r="AF37" s="8">
        <f t="shared" si="41"/>
        <v>0</v>
      </c>
      <c r="AG37" s="8">
        <f t="shared" si="42"/>
        <v>0</v>
      </c>
      <c r="AH37" s="8">
        <f t="shared" si="43"/>
        <v>0</v>
      </c>
      <c r="AI37" s="8">
        <f t="shared" si="44"/>
        <v>0</v>
      </c>
      <c r="AK37" s="11" t="e">
        <f t="shared" si="12"/>
        <v>#N/A</v>
      </c>
      <c r="AL37" s="8"/>
      <c r="AN37" s="8"/>
      <c r="AO37" s="8"/>
      <c r="AP37" s="8" t="e">
        <f>IF(C37&lt;=$E$3,IF(OR('Front sheet'!$Q$3="",'Front sheet'!$Q$3=0),NA(),'Front sheet'!$Q$3),NA())</f>
        <v>#N/A</v>
      </c>
      <c r="AQ37" s="8" t="e">
        <f t="shared" ca="1" si="45"/>
        <v>#N/A</v>
      </c>
      <c r="AR37" s="8" t="e">
        <f t="shared" ca="1" si="46"/>
        <v>#N/A</v>
      </c>
      <c r="AS37" s="8" t="e">
        <f t="shared" ca="1" si="47"/>
        <v>#N/A</v>
      </c>
      <c r="AT37" s="8" t="e">
        <f t="shared" ca="1" si="48"/>
        <v>#N/A</v>
      </c>
      <c r="AU37" s="8" t="e">
        <f t="shared" si="49"/>
        <v>#N/A</v>
      </c>
      <c r="AV37" s="8" t="e">
        <f t="shared" ca="1" si="50"/>
        <v>#N/A</v>
      </c>
      <c r="AX37" s="7" t="str">
        <f t="shared" si="13"/>
        <v/>
      </c>
      <c r="AY37" s="2" t="str">
        <f t="shared" si="14"/>
        <v/>
      </c>
      <c r="BA37" s="2">
        <v>29</v>
      </c>
      <c r="BB37">
        <f t="shared" ca="1" si="15"/>
        <v>3</v>
      </c>
      <c r="BC37" s="14" t="str">
        <f t="shared" si="16"/>
        <v/>
      </c>
      <c r="BD37" s="5" t="e">
        <f>IF($BD$6=0,#N/A,IF(BB37=BD$7,$J37-$BC$2,#N/A))</f>
        <v>#N/A</v>
      </c>
      <c r="BE37" s="5" t="e">
        <f>IF($BE$6=0,#N/A,IF($BB37=BE$7,$J37-$BC$2,#N/A))</f>
        <v>#N/A</v>
      </c>
      <c r="BF37" s="5" t="e">
        <f>IF($BF$6=0,#N/A,IF($BB37=BF$7,$J37-$BC$2,#N/A))</f>
        <v>#N/A</v>
      </c>
      <c r="BG37" s="5" t="e">
        <f>IF($BG$6=0,#N/A,IF($BB37=BG$7,$J37-$BC$2,#N/A))</f>
        <v>#N/A</v>
      </c>
      <c r="BH37" s="5" t="e">
        <f>IF($BH$6=0,#N/A,IF($BB37=BH$7,$J37-$BC$2,#N/A))</f>
        <v>#N/A</v>
      </c>
      <c r="BI37">
        <f t="shared" ca="1" si="22"/>
        <v>1</v>
      </c>
      <c r="BJ37" s="158" t="e">
        <f t="shared" si="23"/>
        <v>#N/A</v>
      </c>
      <c r="BK37" s="158" t="e">
        <f t="shared" si="24"/>
        <v>#N/A</v>
      </c>
      <c r="BL37" s="158" t="e">
        <f t="shared" si="25"/>
        <v>#N/A</v>
      </c>
      <c r="BM37" s="158" t="e">
        <f t="shared" si="26"/>
        <v>#N/A</v>
      </c>
      <c r="BN37" s="19"/>
      <c r="BQ37" s="4">
        <v>29</v>
      </c>
      <c r="BR37" s="4" t="e">
        <f t="shared" si="51"/>
        <v>#N/A</v>
      </c>
      <c r="BS37" s="4" t="e">
        <f t="shared" si="52"/>
        <v>#N/A</v>
      </c>
      <c r="BT37" s="4" t="e">
        <f t="shared" si="53"/>
        <v>#N/A</v>
      </c>
      <c r="BV37" s="4">
        <v>29</v>
      </c>
      <c r="BW37" s="4" t="e">
        <f t="shared" si="54"/>
        <v>#N/A</v>
      </c>
      <c r="BX37" s="4" t="e">
        <f t="shared" si="55"/>
        <v>#N/A</v>
      </c>
      <c r="BZ37" s="4">
        <v>29</v>
      </c>
      <c r="CA37" s="4" t="e">
        <f t="shared" si="56"/>
        <v>#N/A</v>
      </c>
      <c r="CB37" s="4" t="e">
        <f t="shared" si="57"/>
        <v>#N/A</v>
      </c>
      <c r="CC37" s="4" t="e">
        <f t="shared" si="58"/>
        <v>#N/A</v>
      </c>
      <c r="CD37" s="4" t="e">
        <f t="shared" si="59"/>
        <v>#N/A</v>
      </c>
      <c r="CG37" s="4">
        <v>29</v>
      </c>
      <c r="CH37" s="4" t="e">
        <f t="shared" si="27"/>
        <v>#N/A</v>
      </c>
      <c r="CI37" s="4" t="e">
        <f t="shared" si="28"/>
        <v>#N/A</v>
      </c>
      <c r="CJ37" s="4" t="e">
        <f t="shared" si="29"/>
        <v>#N/A</v>
      </c>
      <c r="CL37">
        <f>IF(ISERROR(J37),0,J37)</f>
        <v>0</v>
      </c>
      <c r="CM37">
        <f>IF(ISERROR(J37),0,1)</f>
        <v>0</v>
      </c>
    </row>
    <row r="38" spans="2:91" ht="15.75" thickBot="1" x14ac:dyDescent="0.3">
      <c r="B38">
        <f t="shared" ref="B38:B69" si="61">IF(ISERROR(F38),0,C38)</f>
        <v>0</v>
      </c>
      <c r="C38" s="16">
        <v>30</v>
      </c>
      <c r="D38" s="146" t="str">
        <f>IF('Front sheet'!$F11="","",'Front sheet'!$F11)</f>
        <v/>
      </c>
      <c r="E38" s="148" t="e">
        <f>IF('Front sheet'!H11="",NA(),'Front sheet'!H11)</f>
        <v>#N/A</v>
      </c>
      <c r="F38" s="196" t="e">
        <f>IF('Front sheet'!H11="",NA(),'Front sheet'!G11/'Front sheet'!H11)</f>
        <v>#N/A</v>
      </c>
      <c r="G38" s="205">
        <f t="shared" ca="1" si="0"/>
        <v>0.87525423728813556</v>
      </c>
      <c r="H38" s="201" t="e">
        <f t="shared" ca="1" si="33"/>
        <v>#N/A</v>
      </c>
      <c r="I38" s="157" t="e">
        <f t="shared" ca="1" si="34"/>
        <v>#N/A</v>
      </c>
      <c r="J38" s="151" t="e">
        <f>IF('Front sheet'!H11="",NA(),'Front sheet'!G11)</f>
        <v>#N/A</v>
      </c>
      <c r="K38" s="10" t="str">
        <f t="shared" si="1"/>
        <v/>
      </c>
      <c r="L38" s="9" t="e">
        <f t="shared" ca="1" si="35"/>
        <v>#N/A</v>
      </c>
      <c r="M38" s="8" t="e">
        <f t="shared" ca="1" si="2"/>
        <v>#N/A</v>
      </c>
      <c r="N38" t="e">
        <f t="shared" ca="1" si="36"/>
        <v>#N/A</v>
      </c>
      <c r="O38" s="8" t="e">
        <f t="shared" ca="1" si="60"/>
        <v>#N/A</v>
      </c>
      <c r="P38" t="e">
        <f t="shared" ca="1" si="3"/>
        <v>#N/A</v>
      </c>
      <c r="Q38" s="8">
        <f>IF(ISERROR($F38),0,IF($F38&gt;$H38,MAX($Q$8:Q37)+1,0))</f>
        <v>0</v>
      </c>
      <c r="R38" s="8">
        <f>IF(ISERROR($F38),0,IF($F38&lt;$I38,MAX($R$8:R37)+1,0))</f>
        <v>0</v>
      </c>
      <c r="T38" s="8">
        <f t="shared" si="4"/>
        <v>0</v>
      </c>
      <c r="U38" s="8">
        <f t="shared" ca="1" si="37"/>
        <v>0</v>
      </c>
      <c r="W38" s="8">
        <f t="shared" si="6"/>
        <v>0</v>
      </c>
      <c r="X38" s="8">
        <f t="shared" ca="1" si="38"/>
        <v>0</v>
      </c>
      <c r="Z38" s="8">
        <f t="shared" si="8"/>
        <v>0</v>
      </c>
      <c r="AA38" s="8">
        <f t="shared" si="39"/>
        <v>0</v>
      </c>
      <c r="AC38" s="8">
        <f t="shared" si="10"/>
        <v>0</v>
      </c>
      <c r="AD38" s="8">
        <f t="shared" si="40"/>
        <v>0</v>
      </c>
      <c r="AF38" s="8">
        <f t="shared" si="41"/>
        <v>0</v>
      </c>
      <c r="AG38" s="8">
        <f t="shared" si="42"/>
        <v>0</v>
      </c>
      <c r="AH38" s="8">
        <f t="shared" si="43"/>
        <v>0</v>
      </c>
      <c r="AI38" s="8">
        <f t="shared" si="44"/>
        <v>0</v>
      </c>
      <c r="AK38" s="11" t="e">
        <f t="shared" si="12"/>
        <v>#N/A</v>
      </c>
      <c r="AL38" s="8"/>
      <c r="AN38" s="8"/>
      <c r="AO38" s="8"/>
      <c r="AP38" s="8" t="e">
        <f>IF(C38&lt;=$E$3,IF(OR('Front sheet'!$Q$3="",'Front sheet'!$Q$3=0),NA(),'Front sheet'!$Q$3),NA())</f>
        <v>#N/A</v>
      </c>
      <c r="AQ38" s="8" t="e">
        <f t="shared" ca="1" si="45"/>
        <v>#N/A</v>
      </c>
      <c r="AR38" s="8" t="e">
        <f t="shared" ca="1" si="46"/>
        <v>#N/A</v>
      </c>
      <c r="AS38" s="8" t="e">
        <f t="shared" ca="1" si="47"/>
        <v>#N/A</v>
      </c>
      <c r="AT38" s="8" t="e">
        <f t="shared" ca="1" si="48"/>
        <v>#N/A</v>
      </c>
      <c r="AU38" s="8" t="e">
        <f t="shared" si="49"/>
        <v>#N/A</v>
      </c>
      <c r="AV38" s="8" t="e">
        <f t="shared" ca="1" si="50"/>
        <v>#N/A</v>
      </c>
      <c r="AX38" s="7" t="str">
        <f t="shared" si="13"/>
        <v/>
      </c>
      <c r="AY38" s="2" t="str">
        <f t="shared" si="14"/>
        <v/>
      </c>
      <c r="BA38" s="2">
        <v>30</v>
      </c>
      <c r="BB38">
        <f t="shared" ca="1" si="15"/>
        <v>3</v>
      </c>
      <c r="BC38" s="14" t="str">
        <f t="shared" si="16"/>
        <v/>
      </c>
      <c r="BD38" s="5" t="e">
        <f t="shared" ref="BD38:BD64" si="62">IF($BD$6=0,#N/A,IF(BB38=BD$7,$F38-$BC$2,#N/A))</f>
        <v>#N/A</v>
      </c>
      <c r="BE38" s="5" t="e">
        <f t="shared" ref="BE38:BE64" si="63">IF($BE$6=0,#N/A,IF($BB38=BE$7,$F38-$BC$2,#N/A))</f>
        <v>#N/A</v>
      </c>
      <c r="BF38" s="5" t="e">
        <f t="shared" ref="BF38:BF64" si="64">IF($BF$6=0,#N/A,IF($BB38=BF$7,$F38-$BC$2,#N/A))</f>
        <v>#N/A</v>
      </c>
      <c r="BG38" s="5" t="e">
        <f t="shared" ref="BG38:BG64" si="65">IF($BG$6=0,#N/A,IF($BB38=BG$7,$F38-$BC$2,#N/A))</f>
        <v>#N/A</v>
      </c>
      <c r="BH38" s="5" t="e">
        <f t="shared" ref="BH38:BH64" si="66">IF($BH$6=0,#N/A,IF($BB38=BH$7,$F38-$BC$2,#N/A))</f>
        <v>#N/A</v>
      </c>
      <c r="BI38">
        <f t="shared" ca="1" si="22"/>
        <v>1</v>
      </c>
      <c r="BJ38" s="158" t="e">
        <f t="shared" si="23"/>
        <v>#N/A</v>
      </c>
      <c r="BK38" s="158" t="e">
        <f t="shared" si="24"/>
        <v>#N/A</v>
      </c>
      <c r="BL38" s="158" t="e">
        <f t="shared" si="25"/>
        <v>#N/A</v>
      </c>
      <c r="BM38" s="158" t="e">
        <f t="shared" si="26"/>
        <v>#N/A</v>
      </c>
      <c r="BN38" s="19"/>
      <c r="BQ38" s="4">
        <v>30</v>
      </c>
      <c r="BR38" s="4" t="e">
        <f t="shared" si="51"/>
        <v>#N/A</v>
      </c>
      <c r="BS38" s="4" t="e">
        <f t="shared" si="52"/>
        <v>#N/A</v>
      </c>
      <c r="BT38" s="4" t="e">
        <f t="shared" si="53"/>
        <v>#N/A</v>
      </c>
      <c r="BV38" s="4">
        <v>30</v>
      </c>
      <c r="BW38" s="4" t="e">
        <f t="shared" si="54"/>
        <v>#N/A</v>
      </c>
      <c r="BX38" s="4" t="e">
        <f t="shared" si="55"/>
        <v>#N/A</v>
      </c>
      <c r="BZ38" s="4">
        <v>30</v>
      </c>
      <c r="CA38" s="4" t="e">
        <f t="shared" si="56"/>
        <v>#N/A</v>
      </c>
      <c r="CB38" s="4" t="e">
        <f t="shared" si="57"/>
        <v>#N/A</v>
      </c>
      <c r="CC38" s="4" t="e">
        <f t="shared" si="58"/>
        <v>#N/A</v>
      </c>
      <c r="CD38" s="4" t="e">
        <f t="shared" si="59"/>
        <v>#N/A</v>
      </c>
      <c r="CG38" s="4">
        <v>30</v>
      </c>
      <c r="CH38" s="4" t="e">
        <f t="shared" si="27"/>
        <v>#N/A</v>
      </c>
      <c r="CI38" s="4" t="e">
        <f t="shared" si="28"/>
        <v>#N/A</v>
      </c>
      <c r="CJ38" s="4" t="e">
        <f t="shared" si="29"/>
        <v>#N/A</v>
      </c>
      <c r="CL38">
        <f t="shared" ref="CL38:CL64" si="67">IF(ISERROR(F38),0,F38)</f>
        <v>0</v>
      </c>
      <c r="CM38">
        <f t="shared" ref="CM38:CM64" si="68">IF(ISERROR(F38),0,1)</f>
        <v>0</v>
      </c>
    </row>
    <row r="39" spans="2:91" ht="15.75" thickBot="1" x14ac:dyDescent="0.3">
      <c r="B39">
        <f t="shared" si="61"/>
        <v>0</v>
      </c>
      <c r="C39" s="16">
        <v>31</v>
      </c>
      <c r="D39" s="146" t="str">
        <f>IF('Front sheet'!$F12="","",'Front sheet'!$F12)</f>
        <v/>
      </c>
      <c r="E39" s="148" t="e">
        <f>IF('Front sheet'!H12="",NA(),'Front sheet'!H12)</f>
        <v>#N/A</v>
      </c>
      <c r="F39" s="196" t="e">
        <f>IF('Front sheet'!H12="",NA(),'Front sheet'!G12/'Front sheet'!H12)</f>
        <v>#N/A</v>
      </c>
      <c r="G39" s="205">
        <f t="shared" ca="1" si="0"/>
        <v>0.87525423728813556</v>
      </c>
      <c r="H39" s="201" t="e">
        <f t="shared" ca="1" si="33"/>
        <v>#N/A</v>
      </c>
      <c r="I39" s="157" t="e">
        <f t="shared" ca="1" si="34"/>
        <v>#N/A</v>
      </c>
      <c r="J39" s="151" t="e">
        <f>IF('Front sheet'!H12="",NA(),'Front sheet'!G12)</f>
        <v>#N/A</v>
      </c>
      <c r="K39" s="10" t="str">
        <f t="shared" si="1"/>
        <v/>
      </c>
      <c r="L39" s="9" t="e">
        <f t="shared" ca="1" si="35"/>
        <v>#N/A</v>
      </c>
      <c r="M39" s="8" t="e">
        <f t="shared" ca="1" si="2"/>
        <v>#N/A</v>
      </c>
      <c r="N39" t="e">
        <f t="shared" ca="1" si="36"/>
        <v>#N/A</v>
      </c>
      <c r="O39" s="8" t="e">
        <f t="shared" ca="1" si="60"/>
        <v>#N/A</v>
      </c>
      <c r="P39" t="e">
        <f t="shared" ca="1" si="3"/>
        <v>#N/A</v>
      </c>
      <c r="Q39" s="8">
        <f>IF(ISERROR($F39),0,IF($F39&gt;$H39,MAX($Q$8:Q38)+1,0))</f>
        <v>0</v>
      </c>
      <c r="R39" s="8">
        <f>IF(ISERROR($F39),0,IF($F39&lt;$I39,MAX($R$8:R38)+1,0))</f>
        <v>0</v>
      </c>
      <c r="T39" s="8">
        <f t="shared" si="4"/>
        <v>0</v>
      </c>
      <c r="U39" s="8">
        <f t="shared" ca="1" si="37"/>
        <v>0</v>
      </c>
      <c r="W39" s="8">
        <f t="shared" si="6"/>
        <v>0</v>
      </c>
      <c r="X39" s="8">
        <f t="shared" ca="1" si="38"/>
        <v>0</v>
      </c>
      <c r="Z39" s="8">
        <f t="shared" si="8"/>
        <v>0</v>
      </c>
      <c r="AA39" s="8">
        <f t="shared" si="39"/>
        <v>0</v>
      </c>
      <c r="AC39" s="8">
        <f t="shared" si="10"/>
        <v>0</v>
      </c>
      <c r="AD39" s="8">
        <f t="shared" si="40"/>
        <v>0</v>
      </c>
      <c r="AF39" s="8">
        <f t="shared" si="41"/>
        <v>0</v>
      </c>
      <c r="AG39" s="8">
        <f t="shared" si="42"/>
        <v>0</v>
      </c>
      <c r="AH39" s="8">
        <f t="shared" si="43"/>
        <v>0</v>
      </c>
      <c r="AI39" s="8">
        <f t="shared" si="44"/>
        <v>0</v>
      </c>
      <c r="AK39" s="11" t="e">
        <f t="shared" si="12"/>
        <v>#N/A</v>
      </c>
      <c r="AL39" s="8"/>
      <c r="AN39" s="8"/>
      <c r="AO39" s="8"/>
      <c r="AP39" s="8" t="e">
        <f>IF(C39&lt;=$E$3,IF(OR('Front sheet'!$Q$3="",'Front sheet'!$Q$3=0),NA(),'Front sheet'!$Q$3),NA())</f>
        <v>#N/A</v>
      </c>
      <c r="AQ39" s="8" t="e">
        <f t="shared" ca="1" si="45"/>
        <v>#N/A</v>
      </c>
      <c r="AR39" s="8" t="e">
        <f t="shared" ca="1" si="46"/>
        <v>#N/A</v>
      </c>
      <c r="AS39" s="8" t="e">
        <f t="shared" ca="1" si="47"/>
        <v>#N/A</v>
      </c>
      <c r="AT39" s="8" t="e">
        <f t="shared" ca="1" si="48"/>
        <v>#N/A</v>
      </c>
      <c r="AU39" s="8" t="e">
        <f t="shared" si="49"/>
        <v>#N/A</v>
      </c>
      <c r="AV39" s="8" t="e">
        <f t="shared" ca="1" si="50"/>
        <v>#N/A</v>
      </c>
      <c r="AX39" s="7" t="str">
        <f t="shared" si="13"/>
        <v/>
      </c>
      <c r="AY39" s="2" t="str">
        <f t="shared" si="14"/>
        <v/>
      </c>
      <c r="BA39" s="2">
        <v>31</v>
      </c>
      <c r="BB39">
        <f t="shared" ca="1" si="15"/>
        <v>3</v>
      </c>
      <c r="BC39" s="14" t="str">
        <f t="shared" si="16"/>
        <v/>
      </c>
      <c r="BD39" s="5" t="e">
        <f t="shared" si="62"/>
        <v>#N/A</v>
      </c>
      <c r="BE39" s="5" t="e">
        <f t="shared" si="63"/>
        <v>#N/A</v>
      </c>
      <c r="BF39" s="5" t="e">
        <f t="shared" si="64"/>
        <v>#N/A</v>
      </c>
      <c r="BG39" s="5" t="e">
        <f t="shared" si="65"/>
        <v>#N/A</v>
      </c>
      <c r="BH39" s="5" t="e">
        <f t="shared" si="66"/>
        <v>#N/A</v>
      </c>
      <c r="BI39">
        <f t="shared" ca="1" si="22"/>
        <v>1</v>
      </c>
      <c r="BJ39" s="158" t="e">
        <f t="shared" si="23"/>
        <v>#N/A</v>
      </c>
      <c r="BK39" s="158" t="e">
        <f t="shared" si="24"/>
        <v>#N/A</v>
      </c>
      <c r="BL39" s="158" t="e">
        <f t="shared" si="25"/>
        <v>#N/A</v>
      </c>
      <c r="BM39" s="158" t="e">
        <f t="shared" si="26"/>
        <v>#N/A</v>
      </c>
      <c r="BN39" s="19"/>
      <c r="BQ39" s="4">
        <v>31</v>
      </c>
      <c r="BR39" s="4" t="e">
        <f t="shared" si="51"/>
        <v>#N/A</v>
      </c>
      <c r="BS39" s="4" t="e">
        <f t="shared" si="52"/>
        <v>#N/A</v>
      </c>
      <c r="BT39" s="4" t="e">
        <f t="shared" si="53"/>
        <v>#N/A</v>
      </c>
      <c r="BV39" s="4">
        <v>31</v>
      </c>
      <c r="BW39" s="4" t="e">
        <f t="shared" si="54"/>
        <v>#N/A</v>
      </c>
      <c r="BX39" s="4" t="e">
        <f t="shared" si="55"/>
        <v>#N/A</v>
      </c>
      <c r="BZ39" s="4">
        <v>31</v>
      </c>
      <c r="CA39" s="4" t="e">
        <f t="shared" si="56"/>
        <v>#N/A</v>
      </c>
      <c r="CB39" s="4" t="e">
        <f t="shared" si="57"/>
        <v>#N/A</v>
      </c>
      <c r="CC39" s="4" t="e">
        <f t="shared" si="58"/>
        <v>#N/A</v>
      </c>
      <c r="CD39" s="4" t="e">
        <f t="shared" si="59"/>
        <v>#N/A</v>
      </c>
      <c r="CG39" s="4">
        <v>31</v>
      </c>
      <c r="CH39" s="4" t="e">
        <f t="shared" si="27"/>
        <v>#N/A</v>
      </c>
      <c r="CI39" s="4" t="e">
        <f t="shared" si="28"/>
        <v>#N/A</v>
      </c>
      <c r="CJ39" s="4" t="e">
        <f t="shared" si="29"/>
        <v>#N/A</v>
      </c>
      <c r="CL39">
        <f t="shared" si="67"/>
        <v>0</v>
      </c>
      <c r="CM39">
        <f t="shared" si="68"/>
        <v>0</v>
      </c>
    </row>
    <row r="40" spans="2:91" ht="15.75" thickBot="1" x14ac:dyDescent="0.3">
      <c r="B40">
        <f t="shared" si="61"/>
        <v>0</v>
      </c>
      <c r="C40" s="16">
        <v>32</v>
      </c>
      <c r="D40" s="146" t="str">
        <f>IF('Front sheet'!$F13="","",'Front sheet'!$F13)</f>
        <v/>
      </c>
      <c r="E40" s="148" t="e">
        <f>IF('Front sheet'!H13="",NA(),'Front sheet'!H13)</f>
        <v>#N/A</v>
      </c>
      <c r="F40" s="196" t="e">
        <f>IF('Front sheet'!H13="",NA(),'Front sheet'!G13/'Front sheet'!H13)</f>
        <v>#N/A</v>
      </c>
      <c r="G40" s="205">
        <f t="shared" ca="1" si="0"/>
        <v>0.87525423728813556</v>
      </c>
      <c r="H40" s="201" t="e">
        <f t="shared" ca="1" si="33"/>
        <v>#N/A</v>
      </c>
      <c r="I40" s="157" t="e">
        <f t="shared" ca="1" si="34"/>
        <v>#N/A</v>
      </c>
      <c r="J40" s="151" t="e">
        <f>IF('Front sheet'!H13="",NA(),'Front sheet'!G13)</f>
        <v>#N/A</v>
      </c>
      <c r="K40" s="10" t="str">
        <f t="shared" si="1"/>
        <v/>
      </c>
      <c r="L40" s="9" t="e">
        <f t="shared" ca="1" si="35"/>
        <v>#N/A</v>
      </c>
      <c r="M40" s="8" t="e">
        <f t="shared" ca="1" si="2"/>
        <v>#N/A</v>
      </c>
      <c r="N40" t="e">
        <f t="shared" ca="1" si="36"/>
        <v>#N/A</v>
      </c>
      <c r="O40" s="8" t="e">
        <f t="shared" ca="1" si="60"/>
        <v>#N/A</v>
      </c>
      <c r="P40" t="e">
        <f t="shared" ca="1" si="3"/>
        <v>#N/A</v>
      </c>
      <c r="Q40" s="8">
        <f>IF(ISERROR($F40),0,IF($F40&gt;$H40,MAX($Q$8:Q39)+1,0))</f>
        <v>0</v>
      </c>
      <c r="R40" s="8">
        <f>IF(ISERROR($F40),0,IF($F40&lt;$I40,MAX($R$8:R39)+1,0))</f>
        <v>0</v>
      </c>
      <c r="T40" s="8">
        <f t="shared" si="4"/>
        <v>0</v>
      </c>
      <c r="U40" s="8">
        <f t="shared" ca="1" si="37"/>
        <v>0</v>
      </c>
      <c r="W40" s="8">
        <f t="shared" si="6"/>
        <v>0</v>
      </c>
      <c r="X40" s="8">
        <f t="shared" ca="1" si="38"/>
        <v>0</v>
      </c>
      <c r="Z40" s="8">
        <f t="shared" si="8"/>
        <v>0</v>
      </c>
      <c r="AA40" s="8">
        <f t="shared" si="39"/>
        <v>0</v>
      </c>
      <c r="AC40" s="8">
        <f t="shared" si="10"/>
        <v>0</v>
      </c>
      <c r="AD40" s="8">
        <f t="shared" si="40"/>
        <v>0</v>
      </c>
      <c r="AF40" s="8">
        <f t="shared" si="41"/>
        <v>0</v>
      </c>
      <c r="AG40" s="8">
        <f t="shared" si="42"/>
        <v>0</v>
      </c>
      <c r="AH40" s="8">
        <f t="shared" si="43"/>
        <v>0</v>
      </c>
      <c r="AI40" s="8">
        <f t="shared" si="44"/>
        <v>0</v>
      </c>
      <c r="AK40" s="11" t="e">
        <f t="shared" si="12"/>
        <v>#N/A</v>
      </c>
      <c r="AL40" s="8"/>
      <c r="AN40" s="8"/>
      <c r="AO40" s="8"/>
      <c r="AP40" s="8" t="e">
        <f>IF(C40&lt;=$E$3,IF(OR('Front sheet'!$Q$3="",'Front sheet'!$Q$3=0),NA(),'Front sheet'!$Q$3),NA())</f>
        <v>#N/A</v>
      </c>
      <c r="AQ40" s="8" t="e">
        <f t="shared" ca="1" si="45"/>
        <v>#N/A</v>
      </c>
      <c r="AR40" s="8" t="e">
        <f t="shared" ca="1" si="46"/>
        <v>#N/A</v>
      </c>
      <c r="AS40" s="8" t="e">
        <f t="shared" ca="1" si="47"/>
        <v>#N/A</v>
      </c>
      <c r="AT40" s="8" t="e">
        <f t="shared" ca="1" si="48"/>
        <v>#N/A</v>
      </c>
      <c r="AU40" s="8" t="e">
        <f t="shared" si="49"/>
        <v>#N/A</v>
      </c>
      <c r="AV40" s="8" t="e">
        <f t="shared" ca="1" si="50"/>
        <v>#N/A</v>
      </c>
      <c r="AX40" s="7" t="str">
        <f t="shared" si="13"/>
        <v/>
      </c>
      <c r="AY40" s="2" t="str">
        <f t="shared" si="14"/>
        <v/>
      </c>
      <c r="BA40" s="2">
        <v>32</v>
      </c>
      <c r="BB40">
        <f t="shared" ca="1" si="15"/>
        <v>3</v>
      </c>
      <c r="BC40" s="14" t="str">
        <f t="shared" si="16"/>
        <v/>
      </c>
      <c r="BD40" s="5" t="e">
        <f t="shared" si="62"/>
        <v>#N/A</v>
      </c>
      <c r="BE40" s="5" t="e">
        <f t="shared" si="63"/>
        <v>#N/A</v>
      </c>
      <c r="BF40" s="5" t="e">
        <f t="shared" si="64"/>
        <v>#N/A</v>
      </c>
      <c r="BG40" s="5" t="e">
        <f t="shared" si="65"/>
        <v>#N/A</v>
      </c>
      <c r="BH40" s="5" t="e">
        <f t="shared" si="66"/>
        <v>#N/A</v>
      </c>
      <c r="BI40">
        <f t="shared" ca="1" si="22"/>
        <v>1</v>
      </c>
      <c r="BJ40" s="158" t="e">
        <f t="shared" si="23"/>
        <v>#N/A</v>
      </c>
      <c r="BK40" s="158" t="e">
        <f t="shared" si="24"/>
        <v>#N/A</v>
      </c>
      <c r="BL40" s="158" t="e">
        <f t="shared" si="25"/>
        <v>#N/A</v>
      </c>
      <c r="BM40" s="158" t="e">
        <f t="shared" si="26"/>
        <v>#N/A</v>
      </c>
      <c r="BN40" s="19"/>
      <c r="BQ40" s="4">
        <v>32</v>
      </c>
      <c r="BR40" s="4" t="e">
        <f t="shared" si="51"/>
        <v>#N/A</v>
      </c>
      <c r="BS40" s="4" t="e">
        <f t="shared" si="52"/>
        <v>#N/A</v>
      </c>
      <c r="BT40" s="4" t="e">
        <f t="shared" si="53"/>
        <v>#N/A</v>
      </c>
      <c r="BV40" s="4">
        <v>32</v>
      </c>
      <c r="BW40" s="4" t="e">
        <f t="shared" si="54"/>
        <v>#N/A</v>
      </c>
      <c r="BX40" s="4" t="e">
        <f t="shared" si="55"/>
        <v>#N/A</v>
      </c>
      <c r="BZ40" s="4">
        <v>32</v>
      </c>
      <c r="CA40" s="4" t="e">
        <f t="shared" si="56"/>
        <v>#N/A</v>
      </c>
      <c r="CB40" s="4" t="e">
        <f t="shared" si="57"/>
        <v>#N/A</v>
      </c>
      <c r="CC40" s="4" t="e">
        <f t="shared" si="58"/>
        <v>#N/A</v>
      </c>
      <c r="CD40" s="4" t="e">
        <f t="shared" si="59"/>
        <v>#N/A</v>
      </c>
      <c r="CG40" s="4">
        <v>32</v>
      </c>
      <c r="CH40" s="4" t="e">
        <f t="shared" si="27"/>
        <v>#N/A</v>
      </c>
      <c r="CI40" s="4" t="e">
        <f t="shared" si="28"/>
        <v>#N/A</v>
      </c>
      <c r="CJ40" s="4" t="e">
        <f t="shared" si="29"/>
        <v>#N/A</v>
      </c>
      <c r="CL40">
        <f t="shared" si="67"/>
        <v>0</v>
      </c>
      <c r="CM40">
        <f t="shared" si="68"/>
        <v>0</v>
      </c>
    </row>
    <row r="41" spans="2:91" ht="15.75" thickBot="1" x14ac:dyDescent="0.3">
      <c r="B41">
        <f t="shared" si="61"/>
        <v>0</v>
      </c>
      <c r="C41" s="16">
        <v>33</v>
      </c>
      <c r="D41" s="146" t="str">
        <f>IF('Front sheet'!$F14="","",'Front sheet'!$F14)</f>
        <v/>
      </c>
      <c r="E41" s="148" t="e">
        <f>IF('Front sheet'!H14="",NA(),'Front sheet'!H14)</f>
        <v>#N/A</v>
      </c>
      <c r="F41" s="196" t="e">
        <f>IF('Front sheet'!H14="",NA(),'Front sheet'!G14/'Front sheet'!H14)</f>
        <v>#N/A</v>
      </c>
      <c r="G41" s="205">
        <f t="shared" ref="G41:G72" ca="1" si="69">IF($E$4=0,SUM(Tally0)/SUM(Denom0),IF($B41&lt;=$F$3,SUM(Tally)/SUM(Denom),IF(B41&lt;=$F$4+$F$3,SUM(Tally2)/SUM(Denom2),IF(B41&lt;=$F$3+$F$4+$F$5,SUM(Tally3)/SUM(Denom3),IF(B41&lt;=$F$3+$F$4+$F$5+$F$6,SUM(Tally4)/SUM(Denom4),IF(B41&lt;=$F$3+$F$4+$F$5+$F$6+$F$7,SUM(Tally5)/SUM(Denom5),NA()))))))</f>
        <v>0.87525423728813556</v>
      </c>
      <c r="H41" s="201" t="e">
        <f t="shared" ca="1" si="33"/>
        <v>#N/A</v>
      </c>
      <c r="I41" s="157" t="e">
        <f t="shared" ca="1" si="34"/>
        <v>#N/A</v>
      </c>
      <c r="J41" s="151" t="e">
        <f>IF('Front sheet'!H14="",NA(),'Front sheet'!G14)</f>
        <v>#N/A</v>
      </c>
      <c r="K41" s="10" t="str">
        <f t="shared" ref="K41:K72" si="70">D41</f>
        <v/>
      </c>
      <c r="L41" s="9" t="e">
        <f t="shared" ref="L41:L72" ca="1" si="71">SQRT((G41*(1-G41)/E41))</f>
        <v>#N/A</v>
      </c>
      <c r="M41" s="8" t="e">
        <f t="shared" ref="M41:M72" ca="1" si="72">L41*3</f>
        <v>#N/A</v>
      </c>
      <c r="N41" t="e">
        <f t="shared" ref="N41:N72" ca="1" si="73">((F41-G41))/L41</f>
        <v>#N/A</v>
      </c>
      <c r="O41" s="8" t="e">
        <f t="shared" ca="1" si="60"/>
        <v>#N/A</v>
      </c>
      <c r="P41" t="e">
        <f t="shared" ref="P41:P72" ca="1" si="74">3*(AVERAGE(OFFSET($O$10,0,0,$E$3-1))/1.128)*L41</f>
        <v>#N/A</v>
      </c>
      <c r="Q41" s="8">
        <f>IF(ISERROR($F41),0,IF($F41&gt;$H41,MAX($Q$8:Q40)+1,0))</f>
        <v>0</v>
      </c>
      <c r="R41" s="8">
        <f>IF(ISERROR($F41),0,IF($F41&lt;$I41,MAX($R$8:R40)+1,0))</f>
        <v>0</v>
      </c>
      <c r="T41" s="8">
        <f t="shared" ref="T41:T72" si="75">IF(ISERROR(F41),0,IF(F41&gt;G41,1,0))</f>
        <v>0</v>
      </c>
      <c r="U41" s="8">
        <f t="shared" ca="1" si="37"/>
        <v>0</v>
      </c>
      <c r="W41" s="8">
        <f t="shared" ref="W41:W72" si="76">IF(ISERROR(F41),0,IF(F41&lt;G41,1,0))</f>
        <v>0</v>
      </c>
      <c r="X41" s="8">
        <f t="shared" ca="1" si="38"/>
        <v>0</v>
      </c>
      <c r="Z41" s="8">
        <f t="shared" ref="Z41:Z72" si="77">IF(OR(ISERROR(F41),ISERROR(F40)),0,IF(F41=F40,0.5,IF(F41&gt;F40,1,0)))</f>
        <v>0</v>
      </c>
      <c r="AA41" s="8">
        <f t="shared" si="39"/>
        <v>0</v>
      </c>
      <c r="AC41" s="8">
        <f t="shared" ref="AC41:AC72" si="78">IF(OR(ISERROR(F41),ISERROR(F40)),0,IF(F41=F40,0.5,IF(F41&lt;F40,1,0)))</f>
        <v>0</v>
      </c>
      <c r="AD41" s="8">
        <f t="shared" si="40"/>
        <v>0</v>
      </c>
      <c r="AF41" s="8">
        <f t="shared" si="41"/>
        <v>0</v>
      </c>
      <c r="AG41" s="8">
        <f t="shared" si="42"/>
        <v>0</v>
      </c>
      <c r="AH41" s="8">
        <f t="shared" si="43"/>
        <v>0</v>
      </c>
      <c r="AI41" s="8">
        <f t="shared" si="44"/>
        <v>0</v>
      </c>
      <c r="AK41" s="11" t="e">
        <f t="shared" si="12"/>
        <v>#N/A</v>
      </c>
      <c r="AL41" s="8"/>
      <c r="AN41" s="8"/>
      <c r="AO41" s="8"/>
      <c r="AP41" s="8" t="e">
        <f>IF(C41&lt;=$E$3,IF(OR('Front sheet'!$Q$3="",'Front sheet'!$Q$3=0),NA(),'Front sheet'!$Q$3),NA())</f>
        <v>#N/A</v>
      </c>
      <c r="AQ41" s="8" t="e">
        <f t="shared" ca="1" si="45"/>
        <v>#N/A</v>
      </c>
      <c r="AR41" s="8" t="e">
        <f t="shared" ca="1" si="46"/>
        <v>#N/A</v>
      </c>
      <c r="AS41" s="8" t="e">
        <f t="shared" ca="1" si="47"/>
        <v>#N/A</v>
      </c>
      <c r="AT41" s="8" t="e">
        <f t="shared" ca="1" si="48"/>
        <v>#N/A</v>
      </c>
      <c r="AU41" s="8" t="e">
        <f t="shared" si="49"/>
        <v>#N/A</v>
      </c>
      <c r="AV41" s="8" t="e">
        <f t="shared" ca="1" si="50"/>
        <v>#N/A</v>
      </c>
      <c r="AX41" s="7" t="str">
        <f t="shared" ref="AX41:AX72" si="79">K41</f>
        <v/>
      </c>
      <c r="AY41" s="2" t="str">
        <f t="shared" ref="AY41:AY72" si="80">IFERROR(WEEKDAY(AX41),"")</f>
        <v/>
      </c>
      <c r="BA41" s="2">
        <v>33</v>
      </c>
      <c r="BB41">
        <f t="shared" ref="BB41:BB72" ca="1" si="81">IF($BB$8="Yes","",IF(BC41=$BD$8,1,IF(BC41=$BE$8,2,IF(BC41=$BF$8,3,IF(BC41=$BG$8,4,IF(BC41=$BH$8,5,""))))))</f>
        <v>3</v>
      </c>
      <c r="BC41" s="14" t="str">
        <f t="shared" ref="BC41:BC72" si="82">D41</f>
        <v/>
      </c>
      <c r="BD41" s="5" t="e">
        <f t="shared" si="62"/>
        <v>#N/A</v>
      </c>
      <c r="BE41" s="5" t="e">
        <f t="shared" si="63"/>
        <v>#N/A</v>
      </c>
      <c r="BF41" s="5" t="e">
        <f t="shared" si="64"/>
        <v>#N/A</v>
      </c>
      <c r="BG41" s="5" t="e">
        <f t="shared" si="65"/>
        <v>#N/A</v>
      </c>
      <c r="BH41" s="5" t="e">
        <f t="shared" si="66"/>
        <v>#N/A</v>
      </c>
      <c r="BI41">
        <f t="shared" ref="BI41:BI72" ca="1" si="83">IF(BC41=$BJ$8,1,IF(BC41=$BK$8,2,IF(BC41=$BL$8,3,IF(BC41=$BM$8,4,""))))</f>
        <v>1</v>
      </c>
      <c r="BJ41" s="158" t="e">
        <f t="shared" ref="BJ41:BJ72" si="84">IF($BD$6=0,#N/A,IF(BI41=BJ$7,$F41-$BC$2,#N/A))</f>
        <v>#N/A</v>
      </c>
      <c r="BK41" s="158" t="e">
        <f t="shared" ref="BK41:BK72" si="85">IF($BE$6=0,#N/A,IF($BI41=BK$7,$F41-$BC$2,#N/A))</f>
        <v>#N/A</v>
      </c>
      <c r="BL41" s="158" t="e">
        <f t="shared" ref="BL41:BL72" si="86">IF($BF$6=0,#N/A,IF($BI41=BL$7,$F41-$BC$2,#N/A))</f>
        <v>#N/A</v>
      </c>
      <c r="BM41" s="158" t="e">
        <f t="shared" ref="BM41:BM72" si="87">IF($BG$6=0,#N/A,IF($BI41=BM$7,$F41-$BC$2,#N/A))</f>
        <v>#N/A</v>
      </c>
      <c r="BN41" s="19"/>
      <c r="BQ41" s="4">
        <v>33</v>
      </c>
      <c r="BR41" s="4" t="e">
        <f t="shared" si="51"/>
        <v>#N/A</v>
      </c>
      <c r="BS41" s="4" t="e">
        <f t="shared" si="52"/>
        <v>#N/A</v>
      </c>
      <c r="BT41" s="4" t="e">
        <f t="shared" si="53"/>
        <v>#N/A</v>
      </c>
      <c r="BV41" s="4">
        <v>33</v>
      </c>
      <c r="BW41" s="4" t="e">
        <f t="shared" si="54"/>
        <v>#N/A</v>
      </c>
      <c r="BX41" s="4" t="e">
        <f t="shared" si="55"/>
        <v>#N/A</v>
      </c>
      <c r="BZ41" s="4">
        <v>33</v>
      </c>
      <c r="CA41" s="4" t="e">
        <f t="shared" si="56"/>
        <v>#N/A</v>
      </c>
      <c r="CB41" s="4" t="e">
        <f t="shared" si="57"/>
        <v>#N/A</v>
      </c>
      <c r="CC41" s="4" t="e">
        <f t="shared" si="58"/>
        <v>#N/A</v>
      </c>
      <c r="CD41" s="4" t="e">
        <f t="shared" si="59"/>
        <v>#N/A</v>
      </c>
      <c r="CG41" s="4">
        <v>33</v>
      </c>
      <c r="CH41" s="4" t="e">
        <f t="shared" ref="CH41:CH72" si="88">IF(CG41&lt;&gt;$E$3-$CH$6,NA(),IF($CG$6&lt;&gt;"Pass",NA(),$BE$2+$BC$2))</f>
        <v>#N/A</v>
      </c>
      <c r="CI41" s="4" t="e">
        <f t="shared" ref="CI41:CI72" si="89">IF(CG41&lt;&gt;$E$3-$CH$6,NA(),IF($CG$6&lt;&gt;"Fail",NA(),$BE$2+$BC$2))</f>
        <v>#N/A</v>
      </c>
      <c r="CJ41" s="4" t="e">
        <f t="shared" ref="CJ41:CJ72" si="90">IF(CG41&lt;&gt;$E$3-$CH$6,NA(),IF($CG$6&lt;&gt;"Flip",NA(),$BE$2+$BC$2))</f>
        <v>#N/A</v>
      </c>
      <c r="CL41">
        <f t="shared" si="67"/>
        <v>0</v>
      </c>
      <c r="CM41">
        <f t="shared" si="68"/>
        <v>0</v>
      </c>
    </row>
    <row r="42" spans="2:91" ht="15.75" thickBot="1" x14ac:dyDescent="0.3">
      <c r="B42">
        <f t="shared" si="61"/>
        <v>0</v>
      </c>
      <c r="C42" s="16">
        <v>34</v>
      </c>
      <c r="D42" s="146" t="str">
        <f>IF('Front sheet'!$F15="","",'Front sheet'!$F15)</f>
        <v/>
      </c>
      <c r="E42" s="148" t="e">
        <f>IF('Front sheet'!H15="",NA(),'Front sheet'!H15)</f>
        <v>#N/A</v>
      </c>
      <c r="F42" s="196" t="e">
        <f>IF('Front sheet'!H15="",NA(),'Front sheet'!G15/'Front sheet'!H15)</f>
        <v>#N/A</v>
      </c>
      <c r="G42" s="205">
        <f t="shared" ca="1" si="69"/>
        <v>0.87525423728813556</v>
      </c>
      <c r="H42" s="201" t="e">
        <f t="shared" ca="1" si="33"/>
        <v>#N/A</v>
      </c>
      <c r="I42" s="157" t="e">
        <f t="shared" ca="1" si="34"/>
        <v>#N/A</v>
      </c>
      <c r="J42" s="151" t="e">
        <f>IF('Front sheet'!H15="",NA(),'Front sheet'!G15)</f>
        <v>#N/A</v>
      </c>
      <c r="K42" s="10" t="str">
        <f t="shared" si="70"/>
        <v/>
      </c>
      <c r="L42" s="9" t="e">
        <f t="shared" ca="1" si="71"/>
        <v>#N/A</v>
      </c>
      <c r="M42" s="8" t="e">
        <f t="shared" ca="1" si="72"/>
        <v>#N/A</v>
      </c>
      <c r="N42" t="e">
        <f t="shared" ca="1" si="73"/>
        <v>#N/A</v>
      </c>
      <c r="O42" s="8" t="e">
        <f t="shared" ca="1" si="60"/>
        <v>#N/A</v>
      </c>
      <c r="P42" t="e">
        <f t="shared" ca="1" si="74"/>
        <v>#N/A</v>
      </c>
      <c r="Q42" s="8">
        <f>IF(ISERROR($F42),0,IF($F42&gt;$H42,MAX($Q$8:Q41)+1,0))</f>
        <v>0</v>
      </c>
      <c r="R42" s="8">
        <f>IF(ISERROR($F42),0,IF($F42&lt;$I42,MAX($R$8:R41)+1,0))</f>
        <v>0</v>
      </c>
      <c r="T42" s="8">
        <f t="shared" si="75"/>
        <v>0</v>
      </c>
      <c r="U42" s="8">
        <f t="shared" ca="1" si="37"/>
        <v>0</v>
      </c>
      <c r="W42" s="8">
        <f t="shared" si="76"/>
        <v>0</v>
      </c>
      <c r="X42" s="8">
        <f t="shared" ca="1" si="38"/>
        <v>0</v>
      </c>
      <c r="Z42" s="8">
        <f t="shared" si="77"/>
        <v>0</v>
      </c>
      <c r="AA42" s="8">
        <f t="shared" si="39"/>
        <v>0</v>
      </c>
      <c r="AC42" s="8">
        <f t="shared" si="78"/>
        <v>0</v>
      </c>
      <c r="AD42" s="8">
        <f t="shared" si="40"/>
        <v>0</v>
      </c>
      <c r="AF42" s="8">
        <f t="shared" si="41"/>
        <v>0</v>
      </c>
      <c r="AG42" s="8">
        <f t="shared" si="42"/>
        <v>0</v>
      </c>
      <c r="AH42" s="8">
        <f t="shared" si="43"/>
        <v>0</v>
      </c>
      <c r="AI42" s="8">
        <f t="shared" si="44"/>
        <v>0</v>
      </c>
      <c r="AK42" s="11" t="e">
        <f t="shared" si="12"/>
        <v>#N/A</v>
      </c>
      <c r="AL42" s="8"/>
      <c r="AN42" s="8"/>
      <c r="AO42" s="8"/>
      <c r="AP42" s="8" t="e">
        <f>IF(C42&lt;=$E$3,IF(OR('Front sheet'!$Q$3="",'Front sheet'!$Q$3=0),NA(),'Front sheet'!$Q$3),NA())</f>
        <v>#N/A</v>
      </c>
      <c r="AQ42" s="8" t="e">
        <f t="shared" ca="1" si="45"/>
        <v>#N/A</v>
      </c>
      <c r="AR42" s="8" t="e">
        <f t="shared" ca="1" si="46"/>
        <v>#N/A</v>
      </c>
      <c r="AS42" s="8" t="e">
        <f t="shared" ca="1" si="47"/>
        <v>#N/A</v>
      </c>
      <c r="AT42" s="8" t="e">
        <f t="shared" ca="1" si="48"/>
        <v>#N/A</v>
      </c>
      <c r="AU42" s="8" t="e">
        <f t="shared" si="49"/>
        <v>#N/A</v>
      </c>
      <c r="AV42" s="8" t="e">
        <f t="shared" ca="1" si="50"/>
        <v>#N/A</v>
      </c>
      <c r="AX42" s="7" t="str">
        <f t="shared" si="79"/>
        <v/>
      </c>
      <c r="AY42" s="2" t="str">
        <f t="shared" si="80"/>
        <v/>
      </c>
      <c r="BA42" s="2">
        <v>34</v>
      </c>
      <c r="BB42">
        <f t="shared" ca="1" si="81"/>
        <v>3</v>
      </c>
      <c r="BC42" s="14" t="str">
        <f t="shared" si="82"/>
        <v/>
      </c>
      <c r="BD42" s="5" t="e">
        <f t="shared" si="62"/>
        <v>#N/A</v>
      </c>
      <c r="BE42" s="5" t="e">
        <f t="shared" si="63"/>
        <v>#N/A</v>
      </c>
      <c r="BF42" s="5" t="e">
        <f t="shared" si="64"/>
        <v>#N/A</v>
      </c>
      <c r="BG42" s="5" t="e">
        <f t="shared" si="65"/>
        <v>#N/A</v>
      </c>
      <c r="BH42" s="5" t="e">
        <f t="shared" si="66"/>
        <v>#N/A</v>
      </c>
      <c r="BI42">
        <f t="shared" ca="1" si="83"/>
        <v>1</v>
      </c>
      <c r="BJ42" s="158" t="e">
        <f t="shared" si="84"/>
        <v>#N/A</v>
      </c>
      <c r="BK42" s="158" t="e">
        <f t="shared" si="85"/>
        <v>#N/A</v>
      </c>
      <c r="BL42" s="158" t="e">
        <f t="shared" si="86"/>
        <v>#N/A</v>
      </c>
      <c r="BM42" s="158" t="e">
        <f t="shared" si="87"/>
        <v>#N/A</v>
      </c>
      <c r="BN42" s="19"/>
      <c r="BQ42" s="4">
        <v>34</v>
      </c>
      <c r="BR42" s="4" t="e">
        <f t="shared" si="51"/>
        <v>#N/A</v>
      </c>
      <c r="BS42" s="4" t="e">
        <f t="shared" si="52"/>
        <v>#N/A</v>
      </c>
      <c r="BT42" s="4" t="e">
        <f t="shared" si="53"/>
        <v>#N/A</v>
      </c>
      <c r="BV42" s="4">
        <v>34</v>
      </c>
      <c r="BW42" s="4" t="e">
        <f t="shared" si="54"/>
        <v>#N/A</v>
      </c>
      <c r="BX42" s="4" t="e">
        <f t="shared" si="55"/>
        <v>#N/A</v>
      </c>
      <c r="BZ42" s="4">
        <v>34</v>
      </c>
      <c r="CA42" s="4" t="e">
        <f t="shared" si="56"/>
        <v>#N/A</v>
      </c>
      <c r="CB42" s="4" t="e">
        <f t="shared" si="57"/>
        <v>#N/A</v>
      </c>
      <c r="CC42" s="4" t="e">
        <f t="shared" si="58"/>
        <v>#N/A</v>
      </c>
      <c r="CD42" s="4" t="e">
        <f t="shared" si="59"/>
        <v>#N/A</v>
      </c>
      <c r="CG42" s="4">
        <v>34</v>
      </c>
      <c r="CH42" s="4" t="e">
        <f t="shared" si="88"/>
        <v>#N/A</v>
      </c>
      <c r="CI42" s="4" t="e">
        <f t="shared" si="89"/>
        <v>#N/A</v>
      </c>
      <c r="CJ42" s="4" t="e">
        <f t="shared" si="90"/>
        <v>#N/A</v>
      </c>
      <c r="CL42">
        <f t="shared" si="67"/>
        <v>0</v>
      </c>
      <c r="CM42">
        <f t="shared" si="68"/>
        <v>0</v>
      </c>
    </row>
    <row r="43" spans="2:91" ht="15.75" thickBot="1" x14ac:dyDescent="0.3">
      <c r="B43">
        <f t="shared" si="61"/>
        <v>0</v>
      </c>
      <c r="C43" s="13">
        <v>35</v>
      </c>
      <c r="D43" s="147" t="str">
        <f>IF('Front sheet'!$F16="","",'Front sheet'!$F16)</f>
        <v/>
      </c>
      <c r="E43" s="152" t="e">
        <f>IF('Front sheet'!H16="",NA(),'Front sheet'!H16)</f>
        <v>#N/A</v>
      </c>
      <c r="F43" s="197" t="e">
        <f>IF('Front sheet'!H16="",NA(),'Front sheet'!G16/'Front sheet'!H16)</f>
        <v>#N/A</v>
      </c>
      <c r="G43" s="207">
        <f t="shared" ca="1" si="69"/>
        <v>0.87525423728813556</v>
      </c>
      <c r="H43" s="202" t="e">
        <f t="shared" ca="1" si="33"/>
        <v>#N/A</v>
      </c>
      <c r="I43" s="193" t="e">
        <f t="shared" ca="1" si="34"/>
        <v>#N/A</v>
      </c>
      <c r="J43" s="153" t="e">
        <f>IF('Front sheet'!H16="",NA(),'Front sheet'!G16)</f>
        <v>#N/A</v>
      </c>
      <c r="K43" s="10" t="str">
        <f t="shared" si="70"/>
        <v/>
      </c>
      <c r="L43" s="9" t="e">
        <f t="shared" ca="1" si="71"/>
        <v>#N/A</v>
      </c>
      <c r="M43" s="8" t="e">
        <f t="shared" ca="1" si="72"/>
        <v>#N/A</v>
      </c>
      <c r="N43" t="e">
        <f t="shared" ca="1" si="73"/>
        <v>#N/A</v>
      </c>
      <c r="O43" s="8" t="e">
        <f t="shared" ca="1" si="60"/>
        <v>#N/A</v>
      </c>
      <c r="P43" t="e">
        <f t="shared" ca="1" si="74"/>
        <v>#N/A</v>
      </c>
      <c r="Q43" s="8">
        <f>IF(ISERROR($F43),0,IF($F43&gt;$H43,MAX($Q$8:Q42)+1,0))</f>
        <v>0</v>
      </c>
      <c r="R43" s="8">
        <f>IF(ISERROR($F43),0,IF($F43&lt;$I43,MAX($R$8:R42)+1,0))</f>
        <v>0</v>
      </c>
      <c r="T43" s="8">
        <f t="shared" si="75"/>
        <v>0</v>
      </c>
      <c r="U43" s="8">
        <f t="shared" ca="1" si="37"/>
        <v>0</v>
      </c>
      <c r="W43" s="8">
        <f t="shared" si="76"/>
        <v>0</v>
      </c>
      <c r="X43" s="8">
        <f t="shared" ca="1" si="38"/>
        <v>0</v>
      </c>
      <c r="Z43" s="8">
        <f t="shared" si="77"/>
        <v>0</v>
      </c>
      <c r="AA43" s="8">
        <f t="shared" si="39"/>
        <v>0</v>
      </c>
      <c r="AC43" s="8">
        <f t="shared" si="78"/>
        <v>0</v>
      </c>
      <c r="AD43" s="8">
        <f t="shared" si="40"/>
        <v>0</v>
      </c>
      <c r="AF43" s="8">
        <f t="shared" si="41"/>
        <v>0</v>
      </c>
      <c r="AG43" s="8">
        <f t="shared" si="42"/>
        <v>0</v>
      </c>
      <c r="AH43" s="8">
        <f t="shared" si="43"/>
        <v>0</v>
      </c>
      <c r="AI43" s="8">
        <f t="shared" si="44"/>
        <v>0</v>
      </c>
      <c r="AK43" s="11" t="e">
        <f t="shared" si="12"/>
        <v>#N/A</v>
      </c>
      <c r="AL43" s="8"/>
      <c r="AN43" s="8"/>
      <c r="AO43" s="8"/>
      <c r="AP43" s="8" t="e">
        <f>IF(C43&lt;=$E$3,IF(OR('Front sheet'!$Q$3="",'Front sheet'!$Q$3=0),NA(),'Front sheet'!$Q$3),NA())</f>
        <v>#N/A</v>
      </c>
      <c r="AQ43" s="8" t="e">
        <f t="shared" ca="1" si="45"/>
        <v>#N/A</v>
      </c>
      <c r="AR43" s="8" t="e">
        <f t="shared" ca="1" si="46"/>
        <v>#N/A</v>
      </c>
      <c r="AS43" s="8" t="e">
        <f t="shared" ca="1" si="47"/>
        <v>#N/A</v>
      </c>
      <c r="AT43" s="8" t="e">
        <f t="shared" ca="1" si="48"/>
        <v>#N/A</v>
      </c>
      <c r="AU43" s="8" t="e">
        <f t="shared" si="49"/>
        <v>#N/A</v>
      </c>
      <c r="AV43" s="8" t="e">
        <f t="shared" ca="1" si="50"/>
        <v>#N/A</v>
      </c>
      <c r="AX43" s="7" t="str">
        <f t="shared" si="79"/>
        <v/>
      </c>
      <c r="AY43" s="2" t="str">
        <f t="shared" si="80"/>
        <v/>
      </c>
      <c r="BA43" s="2">
        <v>35</v>
      </c>
      <c r="BB43">
        <f t="shared" ca="1" si="81"/>
        <v>3</v>
      </c>
      <c r="BC43" s="14" t="str">
        <f t="shared" si="82"/>
        <v/>
      </c>
      <c r="BD43" s="5" t="e">
        <f t="shared" si="62"/>
        <v>#N/A</v>
      </c>
      <c r="BE43" s="5" t="e">
        <f t="shared" si="63"/>
        <v>#N/A</v>
      </c>
      <c r="BF43" s="5" t="e">
        <f t="shared" si="64"/>
        <v>#N/A</v>
      </c>
      <c r="BG43" s="5" t="e">
        <f t="shared" si="65"/>
        <v>#N/A</v>
      </c>
      <c r="BH43" s="5" t="e">
        <f t="shared" si="66"/>
        <v>#N/A</v>
      </c>
      <c r="BI43">
        <f t="shared" ca="1" si="83"/>
        <v>1</v>
      </c>
      <c r="BJ43" s="158" t="e">
        <f t="shared" si="84"/>
        <v>#N/A</v>
      </c>
      <c r="BK43" s="158" t="e">
        <f t="shared" si="85"/>
        <v>#N/A</v>
      </c>
      <c r="BL43" s="158" t="e">
        <f t="shared" si="86"/>
        <v>#N/A</v>
      </c>
      <c r="BM43" s="158" t="e">
        <f t="shared" si="87"/>
        <v>#N/A</v>
      </c>
      <c r="BN43" s="19"/>
      <c r="BQ43" s="4">
        <v>35</v>
      </c>
      <c r="BR43" s="4" t="e">
        <f t="shared" si="51"/>
        <v>#N/A</v>
      </c>
      <c r="BS43" s="4" t="e">
        <f t="shared" si="52"/>
        <v>#N/A</v>
      </c>
      <c r="BT43" s="4" t="e">
        <f t="shared" si="53"/>
        <v>#N/A</v>
      </c>
      <c r="BV43" s="4">
        <v>35</v>
      </c>
      <c r="BW43" s="4" t="e">
        <f t="shared" si="54"/>
        <v>#N/A</v>
      </c>
      <c r="BX43" s="4" t="e">
        <f t="shared" si="55"/>
        <v>#N/A</v>
      </c>
      <c r="BZ43" s="4">
        <v>35</v>
      </c>
      <c r="CA43" s="4" t="e">
        <f t="shared" si="56"/>
        <v>#N/A</v>
      </c>
      <c r="CB43" s="4" t="e">
        <f t="shared" si="57"/>
        <v>#N/A</v>
      </c>
      <c r="CC43" s="4" t="e">
        <f t="shared" si="58"/>
        <v>#N/A</v>
      </c>
      <c r="CD43" s="4" t="e">
        <f t="shared" si="59"/>
        <v>#N/A</v>
      </c>
      <c r="CG43" s="4">
        <v>35</v>
      </c>
      <c r="CH43" s="4" t="e">
        <f t="shared" si="88"/>
        <v>#N/A</v>
      </c>
      <c r="CI43" s="4" t="e">
        <f t="shared" si="89"/>
        <v>#N/A</v>
      </c>
      <c r="CJ43" s="4" t="e">
        <f t="shared" si="90"/>
        <v>#N/A</v>
      </c>
      <c r="CL43">
        <f t="shared" si="67"/>
        <v>0</v>
      </c>
      <c r="CM43">
        <f t="shared" si="68"/>
        <v>0</v>
      </c>
    </row>
    <row r="44" spans="2:91" ht="15.75" thickBot="1" x14ac:dyDescent="0.3">
      <c r="B44">
        <f t="shared" si="61"/>
        <v>0</v>
      </c>
      <c r="C44" s="18">
        <v>36</v>
      </c>
      <c r="D44" s="154" t="str">
        <f>IF('Front sheet'!$F17="","",'Front sheet'!$F17)</f>
        <v/>
      </c>
      <c r="E44" s="149" t="e">
        <f>IF('Front sheet'!H17="",NA(),'Front sheet'!H17)</f>
        <v>#N/A</v>
      </c>
      <c r="F44" s="198" t="e">
        <f>IF('Front sheet'!H17="",NA(),'Front sheet'!G17/'Front sheet'!H17)</f>
        <v>#N/A</v>
      </c>
      <c r="G44" s="205">
        <f t="shared" ca="1" si="69"/>
        <v>0.87525423728813556</v>
      </c>
      <c r="H44" s="203" t="e">
        <f t="shared" ca="1" si="33"/>
        <v>#N/A</v>
      </c>
      <c r="I44" s="183" t="e">
        <f t="shared" ca="1" si="34"/>
        <v>#N/A</v>
      </c>
      <c r="J44" s="184" t="e">
        <f>IF('Front sheet'!H17="",NA(),'Front sheet'!G17)</f>
        <v>#N/A</v>
      </c>
      <c r="K44" s="10" t="str">
        <f t="shared" si="70"/>
        <v/>
      </c>
      <c r="L44" s="9" t="e">
        <f t="shared" ca="1" si="71"/>
        <v>#N/A</v>
      </c>
      <c r="M44" s="8" t="e">
        <f t="shared" ca="1" si="72"/>
        <v>#N/A</v>
      </c>
      <c r="N44" t="e">
        <f t="shared" ca="1" si="73"/>
        <v>#N/A</v>
      </c>
      <c r="O44" s="8" t="e">
        <f t="shared" ca="1" si="60"/>
        <v>#N/A</v>
      </c>
      <c r="P44" t="e">
        <f t="shared" ca="1" si="74"/>
        <v>#N/A</v>
      </c>
      <c r="Q44" s="8">
        <f>IF(ISERROR($F44),0,IF($F44&gt;$H44,MAX($Q$8:Q43)+1,0))</f>
        <v>0</v>
      </c>
      <c r="R44" s="8">
        <f>IF(ISERROR($F44),0,IF($F44&lt;$I44,MAX($R$8:R43)+1,0))</f>
        <v>0</v>
      </c>
      <c r="T44" s="8">
        <f t="shared" si="75"/>
        <v>0</v>
      </c>
      <c r="U44" s="8">
        <f t="shared" ca="1" si="37"/>
        <v>0</v>
      </c>
      <c r="W44" s="8">
        <f t="shared" si="76"/>
        <v>0</v>
      </c>
      <c r="X44" s="8">
        <f t="shared" ca="1" si="38"/>
        <v>0</v>
      </c>
      <c r="Z44" s="8">
        <f t="shared" si="77"/>
        <v>0</v>
      </c>
      <c r="AA44" s="8">
        <f t="shared" si="39"/>
        <v>0</v>
      </c>
      <c r="AC44" s="8">
        <f t="shared" si="78"/>
        <v>0</v>
      </c>
      <c r="AD44" s="8">
        <f t="shared" si="40"/>
        <v>0</v>
      </c>
      <c r="AF44" s="8">
        <f t="shared" si="41"/>
        <v>0</v>
      </c>
      <c r="AG44" s="8">
        <f t="shared" si="42"/>
        <v>0</v>
      </c>
      <c r="AH44" s="8">
        <f t="shared" si="43"/>
        <v>0</v>
      </c>
      <c r="AI44" s="8">
        <f t="shared" si="44"/>
        <v>0</v>
      </c>
      <c r="AK44" s="11" t="e">
        <f t="shared" si="12"/>
        <v>#N/A</v>
      </c>
      <c r="AL44" s="8"/>
      <c r="AN44" s="8"/>
      <c r="AO44" s="8"/>
      <c r="AP44" s="8" t="e">
        <f>IF(C44&lt;=$E$3,IF(OR('Front sheet'!$Q$3="",'Front sheet'!$Q$3=0),NA(),'Front sheet'!$Q$3),NA())</f>
        <v>#N/A</v>
      </c>
      <c r="AQ44" s="8" t="e">
        <f t="shared" ca="1" si="45"/>
        <v>#N/A</v>
      </c>
      <c r="AR44" s="8" t="e">
        <f t="shared" ca="1" si="46"/>
        <v>#N/A</v>
      </c>
      <c r="AS44" s="8" t="e">
        <f t="shared" ca="1" si="47"/>
        <v>#N/A</v>
      </c>
      <c r="AT44" s="8" t="e">
        <f t="shared" ca="1" si="48"/>
        <v>#N/A</v>
      </c>
      <c r="AU44" s="8" t="e">
        <f t="shared" si="49"/>
        <v>#N/A</v>
      </c>
      <c r="AV44" s="8" t="e">
        <f t="shared" ca="1" si="50"/>
        <v>#N/A</v>
      </c>
      <c r="AX44" s="7" t="str">
        <f t="shared" si="79"/>
        <v/>
      </c>
      <c r="AY44" s="2" t="str">
        <f t="shared" si="80"/>
        <v/>
      </c>
      <c r="BA44" s="2">
        <v>36</v>
      </c>
      <c r="BB44">
        <f t="shared" ca="1" si="81"/>
        <v>3</v>
      </c>
      <c r="BC44" s="14" t="str">
        <f t="shared" si="82"/>
        <v/>
      </c>
      <c r="BD44" s="5" t="e">
        <f t="shared" si="62"/>
        <v>#N/A</v>
      </c>
      <c r="BE44" s="5" t="e">
        <f t="shared" si="63"/>
        <v>#N/A</v>
      </c>
      <c r="BF44" s="5" t="e">
        <f t="shared" si="64"/>
        <v>#N/A</v>
      </c>
      <c r="BG44" s="5" t="e">
        <f t="shared" si="65"/>
        <v>#N/A</v>
      </c>
      <c r="BH44" s="5" t="e">
        <f t="shared" si="66"/>
        <v>#N/A</v>
      </c>
      <c r="BI44">
        <f t="shared" ca="1" si="83"/>
        <v>1</v>
      </c>
      <c r="BJ44" s="158" t="e">
        <f t="shared" si="84"/>
        <v>#N/A</v>
      </c>
      <c r="BK44" s="158" t="e">
        <f t="shared" si="85"/>
        <v>#N/A</v>
      </c>
      <c r="BL44" s="158" t="e">
        <f t="shared" si="86"/>
        <v>#N/A</v>
      </c>
      <c r="BM44" s="158" t="e">
        <f t="shared" si="87"/>
        <v>#N/A</v>
      </c>
      <c r="BN44" s="19"/>
      <c r="BQ44" s="4">
        <v>36</v>
      </c>
      <c r="BR44" s="4" t="e">
        <f t="shared" si="51"/>
        <v>#N/A</v>
      </c>
      <c r="BS44" s="4" t="e">
        <f t="shared" si="52"/>
        <v>#N/A</v>
      </c>
      <c r="BT44" s="4" t="e">
        <f t="shared" si="53"/>
        <v>#N/A</v>
      </c>
      <c r="BV44" s="4">
        <v>36</v>
      </c>
      <c r="BW44" s="4" t="e">
        <f t="shared" si="54"/>
        <v>#N/A</v>
      </c>
      <c r="BX44" s="4" t="e">
        <f t="shared" si="55"/>
        <v>#N/A</v>
      </c>
      <c r="BZ44" s="4">
        <v>36</v>
      </c>
      <c r="CA44" s="4" t="e">
        <f t="shared" si="56"/>
        <v>#N/A</v>
      </c>
      <c r="CB44" s="4" t="e">
        <f t="shared" si="57"/>
        <v>#N/A</v>
      </c>
      <c r="CC44" s="4" t="e">
        <f t="shared" si="58"/>
        <v>#N/A</v>
      </c>
      <c r="CD44" s="4" t="e">
        <f t="shared" si="59"/>
        <v>#N/A</v>
      </c>
      <c r="CG44" s="4">
        <v>36</v>
      </c>
      <c r="CH44" s="4" t="e">
        <f t="shared" si="88"/>
        <v>#N/A</v>
      </c>
      <c r="CI44" s="4" t="e">
        <f t="shared" si="89"/>
        <v>#N/A</v>
      </c>
      <c r="CJ44" s="4" t="e">
        <f t="shared" si="90"/>
        <v>#N/A</v>
      </c>
      <c r="CL44">
        <f t="shared" si="67"/>
        <v>0</v>
      </c>
      <c r="CM44">
        <f t="shared" si="68"/>
        <v>0</v>
      </c>
    </row>
    <row r="45" spans="2:91" ht="15.75" thickBot="1" x14ac:dyDescent="0.3">
      <c r="B45">
        <f t="shared" si="61"/>
        <v>0</v>
      </c>
      <c r="C45" s="16">
        <v>37</v>
      </c>
      <c r="D45" s="146" t="str">
        <f>IF('Front sheet'!$F18="","",'Front sheet'!$F18)</f>
        <v/>
      </c>
      <c r="E45" s="148" t="e">
        <f>IF('Front sheet'!H18="",NA(),'Front sheet'!H18)</f>
        <v>#N/A</v>
      </c>
      <c r="F45" s="196" t="e">
        <f>IF('Front sheet'!H18="",NA(),'Front sheet'!G18/'Front sheet'!H18)</f>
        <v>#N/A</v>
      </c>
      <c r="G45" s="205">
        <f t="shared" ca="1" si="69"/>
        <v>0.87525423728813556</v>
      </c>
      <c r="H45" s="201" t="e">
        <f t="shared" ca="1" si="33"/>
        <v>#N/A</v>
      </c>
      <c r="I45" s="157" t="e">
        <f t="shared" ca="1" si="34"/>
        <v>#N/A</v>
      </c>
      <c r="J45" s="151" t="e">
        <f>IF('Front sheet'!H18="",NA(),'Front sheet'!G18)</f>
        <v>#N/A</v>
      </c>
      <c r="K45" s="10" t="str">
        <f t="shared" si="70"/>
        <v/>
      </c>
      <c r="L45" s="9" t="e">
        <f t="shared" ca="1" si="71"/>
        <v>#N/A</v>
      </c>
      <c r="M45" s="8" t="e">
        <f t="shared" ca="1" si="72"/>
        <v>#N/A</v>
      </c>
      <c r="N45" t="e">
        <f t="shared" ca="1" si="73"/>
        <v>#N/A</v>
      </c>
      <c r="O45" s="8" t="e">
        <f t="shared" ca="1" si="60"/>
        <v>#N/A</v>
      </c>
      <c r="P45" t="e">
        <f t="shared" ca="1" si="74"/>
        <v>#N/A</v>
      </c>
      <c r="Q45" s="8">
        <f>IF(ISERROR($F45),0,IF($F45&gt;$H45,MAX($Q$8:Q44)+1,0))</f>
        <v>0</v>
      </c>
      <c r="R45" s="8">
        <f>IF(ISERROR($F45),0,IF($F45&lt;$I45,MAX($R$8:R44)+1,0))</f>
        <v>0</v>
      </c>
      <c r="T45" s="8">
        <f t="shared" si="75"/>
        <v>0</v>
      </c>
      <c r="U45" s="8">
        <f t="shared" ca="1" si="37"/>
        <v>0</v>
      </c>
      <c r="W45" s="8">
        <f t="shared" si="76"/>
        <v>0</v>
      </c>
      <c r="X45" s="8">
        <f t="shared" ca="1" si="38"/>
        <v>0</v>
      </c>
      <c r="Z45" s="8">
        <f t="shared" si="77"/>
        <v>0</v>
      </c>
      <c r="AA45" s="8">
        <f t="shared" si="39"/>
        <v>0</v>
      </c>
      <c r="AC45" s="8">
        <f t="shared" si="78"/>
        <v>0</v>
      </c>
      <c r="AD45" s="8">
        <f t="shared" si="40"/>
        <v>0</v>
      </c>
      <c r="AF45" s="8">
        <f t="shared" si="41"/>
        <v>0</v>
      </c>
      <c r="AG45" s="8">
        <f t="shared" si="42"/>
        <v>0</v>
      </c>
      <c r="AH45" s="8">
        <f t="shared" si="43"/>
        <v>0</v>
      </c>
      <c r="AI45" s="8">
        <f t="shared" si="44"/>
        <v>0</v>
      </c>
      <c r="AK45" s="11" t="e">
        <f t="shared" si="12"/>
        <v>#N/A</v>
      </c>
      <c r="AL45" s="8"/>
      <c r="AN45" s="8"/>
      <c r="AO45" s="8"/>
      <c r="AP45" s="8" t="e">
        <f>IF(C45&lt;=$E$3,IF(OR('Front sheet'!$Q$3="",'Front sheet'!$Q$3=0),NA(),'Front sheet'!$Q$3),NA())</f>
        <v>#N/A</v>
      </c>
      <c r="AQ45" s="8" t="e">
        <f t="shared" ca="1" si="45"/>
        <v>#N/A</v>
      </c>
      <c r="AR45" s="8" t="e">
        <f t="shared" ca="1" si="46"/>
        <v>#N/A</v>
      </c>
      <c r="AS45" s="8" t="e">
        <f t="shared" ca="1" si="47"/>
        <v>#N/A</v>
      </c>
      <c r="AT45" s="8" t="e">
        <f t="shared" ca="1" si="48"/>
        <v>#N/A</v>
      </c>
      <c r="AU45" s="8" t="e">
        <f t="shared" si="49"/>
        <v>#N/A</v>
      </c>
      <c r="AV45" s="8" t="e">
        <f t="shared" ca="1" si="50"/>
        <v>#N/A</v>
      </c>
      <c r="AX45" s="7" t="str">
        <f t="shared" si="79"/>
        <v/>
      </c>
      <c r="AY45" s="2" t="str">
        <f t="shared" si="80"/>
        <v/>
      </c>
      <c r="BA45" s="2">
        <v>37</v>
      </c>
      <c r="BB45">
        <f t="shared" ca="1" si="81"/>
        <v>3</v>
      </c>
      <c r="BC45" s="14" t="str">
        <f t="shared" si="82"/>
        <v/>
      </c>
      <c r="BD45" s="5" t="e">
        <f t="shared" si="62"/>
        <v>#N/A</v>
      </c>
      <c r="BE45" s="5" t="e">
        <f t="shared" si="63"/>
        <v>#N/A</v>
      </c>
      <c r="BF45" s="5" t="e">
        <f t="shared" si="64"/>
        <v>#N/A</v>
      </c>
      <c r="BG45" s="5" t="e">
        <f t="shared" si="65"/>
        <v>#N/A</v>
      </c>
      <c r="BH45" s="5" t="e">
        <f t="shared" si="66"/>
        <v>#N/A</v>
      </c>
      <c r="BI45">
        <f t="shared" ca="1" si="83"/>
        <v>1</v>
      </c>
      <c r="BJ45" s="158" t="e">
        <f t="shared" si="84"/>
        <v>#N/A</v>
      </c>
      <c r="BK45" s="158" t="e">
        <f t="shared" si="85"/>
        <v>#N/A</v>
      </c>
      <c r="BL45" s="158" t="e">
        <f t="shared" si="86"/>
        <v>#N/A</v>
      </c>
      <c r="BM45" s="158" t="e">
        <f t="shared" si="87"/>
        <v>#N/A</v>
      </c>
      <c r="BN45" s="19"/>
      <c r="BQ45" s="4">
        <v>37</v>
      </c>
      <c r="BR45" s="4" t="e">
        <f t="shared" si="51"/>
        <v>#N/A</v>
      </c>
      <c r="BS45" s="4" t="e">
        <f t="shared" si="52"/>
        <v>#N/A</v>
      </c>
      <c r="BT45" s="4" t="e">
        <f t="shared" si="53"/>
        <v>#N/A</v>
      </c>
      <c r="BV45" s="4">
        <v>37</v>
      </c>
      <c r="BW45" s="4" t="e">
        <f t="shared" si="54"/>
        <v>#N/A</v>
      </c>
      <c r="BX45" s="4" t="e">
        <f t="shared" si="55"/>
        <v>#N/A</v>
      </c>
      <c r="BZ45" s="4">
        <v>37</v>
      </c>
      <c r="CA45" s="4" t="e">
        <f t="shared" si="56"/>
        <v>#N/A</v>
      </c>
      <c r="CB45" s="4" t="e">
        <f t="shared" si="57"/>
        <v>#N/A</v>
      </c>
      <c r="CC45" s="4" t="e">
        <f t="shared" si="58"/>
        <v>#N/A</v>
      </c>
      <c r="CD45" s="4" t="e">
        <f t="shared" si="59"/>
        <v>#N/A</v>
      </c>
      <c r="CG45" s="4">
        <v>37</v>
      </c>
      <c r="CH45" s="4" t="e">
        <f t="shared" si="88"/>
        <v>#N/A</v>
      </c>
      <c r="CI45" s="4" t="e">
        <f t="shared" si="89"/>
        <v>#N/A</v>
      </c>
      <c r="CJ45" s="4" t="e">
        <f t="shared" si="90"/>
        <v>#N/A</v>
      </c>
      <c r="CL45">
        <f t="shared" si="67"/>
        <v>0</v>
      </c>
      <c r="CM45">
        <f t="shared" si="68"/>
        <v>0</v>
      </c>
    </row>
    <row r="46" spans="2:91" ht="15.75" thickBot="1" x14ac:dyDescent="0.3">
      <c r="B46">
        <f t="shared" si="61"/>
        <v>0</v>
      </c>
      <c r="C46" s="16">
        <v>38</v>
      </c>
      <c r="D46" s="146" t="str">
        <f>IF('Front sheet'!$F19="","",'Front sheet'!$F19)</f>
        <v/>
      </c>
      <c r="E46" s="148" t="e">
        <f>IF('Front sheet'!H19="",NA(),'Front sheet'!H19)</f>
        <v>#N/A</v>
      </c>
      <c r="F46" s="196" t="e">
        <f>IF('Front sheet'!H19="",NA(),'Front sheet'!G19/'Front sheet'!H19)</f>
        <v>#N/A</v>
      </c>
      <c r="G46" s="205">
        <f t="shared" ca="1" si="69"/>
        <v>0.87525423728813556</v>
      </c>
      <c r="H46" s="201" t="e">
        <f t="shared" ca="1" si="33"/>
        <v>#N/A</v>
      </c>
      <c r="I46" s="157" t="e">
        <f t="shared" ca="1" si="34"/>
        <v>#N/A</v>
      </c>
      <c r="J46" s="151" t="e">
        <f>IF('Front sheet'!H19="",NA(),'Front sheet'!G19)</f>
        <v>#N/A</v>
      </c>
      <c r="K46" s="10" t="str">
        <f t="shared" si="70"/>
        <v/>
      </c>
      <c r="L46" s="9" t="e">
        <f t="shared" ca="1" si="71"/>
        <v>#N/A</v>
      </c>
      <c r="M46" s="8" t="e">
        <f t="shared" ca="1" si="72"/>
        <v>#N/A</v>
      </c>
      <c r="N46" t="e">
        <f t="shared" ca="1" si="73"/>
        <v>#N/A</v>
      </c>
      <c r="O46" s="8" t="e">
        <f t="shared" ca="1" si="60"/>
        <v>#N/A</v>
      </c>
      <c r="P46" t="e">
        <f t="shared" ca="1" si="74"/>
        <v>#N/A</v>
      </c>
      <c r="Q46" s="8">
        <f>IF(ISERROR($F46),0,IF($F46&gt;$H46,MAX($Q$8:Q45)+1,0))</f>
        <v>0</v>
      </c>
      <c r="R46" s="8">
        <f>IF(ISERROR($F46),0,IF($F46&lt;$I46,MAX($R$8:R45)+1,0))</f>
        <v>0</v>
      </c>
      <c r="T46" s="8">
        <f t="shared" si="75"/>
        <v>0</v>
      </c>
      <c r="U46" s="8">
        <f t="shared" ca="1" si="37"/>
        <v>0</v>
      </c>
      <c r="W46" s="8">
        <f t="shared" si="76"/>
        <v>0</v>
      </c>
      <c r="X46" s="8">
        <f t="shared" ca="1" si="38"/>
        <v>0</v>
      </c>
      <c r="Z46" s="8">
        <f t="shared" si="77"/>
        <v>0</v>
      </c>
      <c r="AA46" s="8">
        <f t="shared" si="39"/>
        <v>0</v>
      </c>
      <c r="AC46" s="8">
        <f t="shared" si="78"/>
        <v>0</v>
      </c>
      <c r="AD46" s="8">
        <f t="shared" si="40"/>
        <v>0</v>
      </c>
      <c r="AF46" s="8">
        <f t="shared" si="41"/>
        <v>0</v>
      </c>
      <c r="AG46" s="8">
        <f t="shared" si="42"/>
        <v>0</v>
      </c>
      <c r="AH46" s="8">
        <f t="shared" si="43"/>
        <v>0</v>
      </c>
      <c r="AI46" s="8">
        <f t="shared" si="44"/>
        <v>0</v>
      </c>
      <c r="AK46" s="11" t="e">
        <f t="shared" si="12"/>
        <v>#N/A</v>
      </c>
      <c r="AL46" s="8"/>
      <c r="AN46" s="8"/>
      <c r="AO46" s="8"/>
      <c r="AP46" s="8" t="e">
        <f>IF(C46&lt;=$E$3,IF(OR('Front sheet'!$Q$3="",'Front sheet'!$Q$3=0),NA(),'Front sheet'!$Q$3),NA())</f>
        <v>#N/A</v>
      </c>
      <c r="AQ46" s="8" t="e">
        <f t="shared" ca="1" si="45"/>
        <v>#N/A</v>
      </c>
      <c r="AR46" s="8" t="e">
        <f t="shared" ca="1" si="46"/>
        <v>#N/A</v>
      </c>
      <c r="AS46" s="8" t="e">
        <f t="shared" ca="1" si="47"/>
        <v>#N/A</v>
      </c>
      <c r="AT46" s="8" t="e">
        <f t="shared" ca="1" si="48"/>
        <v>#N/A</v>
      </c>
      <c r="AU46" s="8" t="e">
        <f t="shared" si="49"/>
        <v>#N/A</v>
      </c>
      <c r="AV46" s="8" t="e">
        <f t="shared" ca="1" si="50"/>
        <v>#N/A</v>
      </c>
      <c r="AX46" s="7" t="str">
        <f t="shared" si="79"/>
        <v/>
      </c>
      <c r="AY46" s="2" t="str">
        <f t="shared" si="80"/>
        <v/>
      </c>
      <c r="BA46" s="2">
        <v>38</v>
      </c>
      <c r="BB46">
        <f t="shared" ca="1" si="81"/>
        <v>3</v>
      </c>
      <c r="BC46" s="14" t="str">
        <f t="shared" si="82"/>
        <v/>
      </c>
      <c r="BD46" s="5" t="e">
        <f t="shared" si="62"/>
        <v>#N/A</v>
      </c>
      <c r="BE46" s="5" t="e">
        <f t="shared" si="63"/>
        <v>#N/A</v>
      </c>
      <c r="BF46" s="5" t="e">
        <f t="shared" si="64"/>
        <v>#N/A</v>
      </c>
      <c r="BG46" s="5" t="e">
        <f t="shared" si="65"/>
        <v>#N/A</v>
      </c>
      <c r="BH46" s="5" t="e">
        <f t="shared" si="66"/>
        <v>#N/A</v>
      </c>
      <c r="BI46">
        <f t="shared" ca="1" si="83"/>
        <v>1</v>
      </c>
      <c r="BJ46" s="158" t="e">
        <f t="shared" si="84"/>
        <v>#N/A</v>
      </c>
      <c r="BK46" s="158" t="e">
        <f t="shared" si="85"/>
        <v>#N/A</v>
      </c>
      <c r="BL46" s="158" t="e">
        <f t="shared" si="86"/>
        <v>#N/A</v>
      </c>
      <c r="BM46" s="158" t="e">
        <f t="shared" si="87"/>
        <v>#N/A</v>
      </c>
      <c r="BN46" s="19"/>
      <c r="BQ46" s="4">
        <v>38</v>
      </c>
      <c r="BR46" s="4" t="e">
        <f t="shared" si="51"/>
        <v>#N/A</v>
      </c>
      <c r="BS46" s="4" t="e">
        <f t="shared" si="52"/>
        <v>#N/A</v>
      </c>
      <c r="BT46" s="4" t="e">
        <f t="shared" si="53"/>
        <v>#N/A</v>
      </c>
      <c r="BV46" s="4">
        <v>38</v>
      </c>
      <c r="BW46" s="4" t="e">
        <f t="shared" si="54"/>
        <v>#N/A</v>
      </c>
      <c r="BX46" s="4" t="e">
        <f t="shared" si="55"/>
        <v>#N/A</v>
      </c>
      <c r="BZ46" s="4">
        <v>38</v>
      </c>
      <c r="CA46" s="4" t="e">
        <f t="shared" si="56"/>
        <v>#N/A</v>
      </c>
      <c r="CB46" s="4" t="e">
        <f t="shared" si="57"/>
        <v>#N/A</v>
      </c>
      <c r="CC46" s="4" t="e">
        <f t="shared" si="58"/>
        <v>#N/A</v>
      </c>
      <c r="CD46" s="4" t="e">
        <f t="shared" si="59"/>
        <v>#N/A</v>
      </c>
      <c r="CG46" s="4">
        <v>38</v>
      </c>
      <c r="CH46" s="4" t="e">
        <f t="shared" si="88"/>
        <v>#N/A</v>
      </c>
      <c r="CI46" s="4" t="e">
        <f t="shared" si="89"/>
        <v>#N/A</v>
      </c>
      <c r="CJ46" s="4" t="e">
        <f t="shared" si="90"/>
        <v>#N/A</v>
      </c>
      <c r="CL46">
        <f t="shared" si="67"/>
        <v>0</v>
      </c>
      <c r="CM46">
        <f t="shared" si="68"/>
        <v>0</v>
      </c>
    </row>
    <row r="47" spans="2:91" ht="15.75" thickBot="1" x14ac:dyDescent="0.3">
      <c r="B47">
        <f t="shared" si="61"/>
        <v>0</v>
      </c>
      <c r="C47" s="16">
        <v>39</v>
      </c>
      <c r="D47" s="146" t="str">
        <f>IF('Front sheet'!$F20="","",'Front sheet'!$F20)</f>
        <v/>
      </c>
      <c r="E47" s="148" t="e">
        <f>IF('Front sheet'!H20="",NA(),'Front sheet'!H20)</f>
        <v>#N/A</v>
      </c>
      <c r="F47" s="196" t="e">
        <f>IF('Front sheet'!H20="",NA(),'Front sheet'!G20/'Front sheet'!H20)</f>
        <v>#N/A</v>
      </c>
      <c r="G47" s="205">
        <f t="shared" ca="1" si="69"/>
        <v>0.87525423728813556</v>
      </c>
      <c r="H47" s="201" t="e">
        <f t="shared" ca="1" si="33"/>
        <v>#N/A</v>
      </c>
      <c r="I47" s="157" t="e">
        <f t="shared" ca="1" si="34"/>
        <v>#N/A</v>
      </c>
      <c r="J47" s="151" t="e">
        <f>IF('Front sheet'!H20="",NA(),'Front sheet'!G20)</f>
        <v>#N/A</v>
      </c>
      <c r="K47" s="10" t="str">
        <f t="shared" si="70"/>
        <v/>
      </c>
      <c r="L47" s="9" t="e">
        <f t="shared" ca="1" si="71"/>
        <v>#N/A</v>
      </c>
      <c r="M47" s="8" t="e">
        <f t="shared" ca="1" si="72"/>
        <v>#N/A</v>
      </c>
      <c r="N47" t="e">
        <f t="shared" ca="1" si="73"/>
        <v>#N/A</v>
      </c>
      <c r="O47" s="8" t="e">
        <f t="shared" ca="1" si="60"/>
        <v>#N/A</v>
      </c>
      <c r="P47" t="e">
        <f t="shared" ca="1" si="74"/>
        <v>#N/A</v>
      </c>
      <c r="Q47" s="8">
        <f>IF(ISERROR($F47),0,IF($F47&gt;$H47,MAX($Q$8:Q46)+1,0))</f>
        <v>0</v>
      </c>
      <c r="R47" s="8">
        <f>IF(ISERROR($F47),0,IF($F47&lt;$I47,MAX($R$8:R46)+1,0))</f>
        <v>0</v>
      </c>
      <c r="T47" s="8">
        <f t="shared" si="75"/>
        <v>0</v>
      </c>
      <c r="U47" s="8">
        <f t="shared" ca="1" si="37"/>
        <v>0</v>
      </c>
      <c r="W47" s="8">
        <f t="shared" si="76"/>
        <v>0</v>
      </c>
      <c r="X47" s="8">
        <f t="shared" ca="1" si="38"/>
        <v>0</v>
      </c>
      <c r="Z47" s="8">
        <f t="shared" si="77"/>
        <v>0</v>
      </c>
      <c r="AA47" s="8">
        <f t="shared" si="39"/>
        <v>0</v>
      </c>
      <c r="AC47" s="8">
        <f t="shared" si="78"/>
        <v>0</v>
      </c>
      <c r="AD47" s="8">
        <f t="shared" si="40"/>
        <v>0</v>
      </c>
      <c r="AF47" s="8">
        <f t="shared" si="41"/>
        <v>0</v>
      </c>
      <c r="AG47" s="8">
        <f t="shared" si="42"/>
        <v>0</v>
      </c>
      <c r="AH47" s="8">
        <f t="shared" si="43"/>
        <v>0</v>
      </c>
      <c r="AI47" s="8">
        <f t="shared" si="44"/>
        <v>0</v>
      </c>
      <c r="AK47" s="11" t="e">
        <f t="shared" si="12"/>
        <v>#N/A</v>
      </c>
      <c r="AL47" s="8"/>
      <c r="AN47" s="8"/>
      <c r="AO47" s="8"/>
      <c r="AP47" s="8" t="e">
        <f>IF(C47&lt;=$E$3,IF(OR('Front sheet'!$Q$3="",'Front sheet'!$Q$3=0),NA(),'Front sheet'!$Q$3),NA())</f>
        <v>#N/A</v>
      </c>
      <c r="AQ47" s="8" t="e">
        <f t="shared" ca="1" si="45"/>
        <v>#N/A</v>
      </c>
      <c r="AR47" s="8" t="e">
        <f t="shared" ca="1" si="46"/>
        <v>#N/A</v>
      </c>
      <c r="AS47" s="8" t="e">
        <f t="shared" ca="1" si="47"/>
        <v>#N/A</v>
      </c>
      <c r="AT47" s="8" t="e">
        <f t="shared" ca="1" si="48"/>
        <v>#N/A</v>
      </c>
      <c r="AU47" s="8" t="e">
        <f t="shared" si="49"/>
        <v>#N/A</v>
      </c>
      <c r="AV47" s="8" t="e">
        <f t="shared" ca="1" si="50"/>
        <v>#N/A</v>
      </c>
      <c r="AX47" s="7" t="str">
        <f t="shared" si="79"/>
        <v/>
      </c>
      <c r="AY47" s="2" t="str">
        <f t="shared" si="80"/>
        <v/>
      </c>
      <c r="BA47" s="2">
        <v>39</v>
      </c>
      <c r="BB47">
        <f t="shared" ca="1" si="81"/>
        <v>3</v>
      </c>
      <c r="BC47" s="14" t="str">
        <f t="shared" si="82"/>
        <v/>
      </c>
      <c r="BD47" s="5" t="e">
        <f t="shared" si="62"/>
        <v>#N/A</v>
      </c>
      <c r="BE47" s="5" t="e">
        <f t="shared" si="63"/>
        <v>#N/A</v>
      </c>
      <c r="BF47" s="5" t="e">
        <f t="shared" si="64"/>
        <v>#N/A</v>
      </c>
      <c r="BG47" s="5" t="e">
        <f t="shared" si="65"/>
        <v>#N/A</v>
      </c>
      <c r="BH47" s="5" t="e">
        <f t="shared" si="66"/>
        <v>#N/A</v>
      </c>
      <c r="BI47">
        <f t="shared" ca="1" si="83"/>
        <v>1</v>
      </c>
      <c r="BJ47" s="158" t="e">
        <f t="shared" si="84"/>
        <v>#N/A</v>
      </c>
      <c r="BK47" s="158" t="e">
        <f t="shared" si="85"/>
        <v>#N/A</v>
      </c>
      <c r="BL47" s="158" t="e">
        <f t="shared" si="86"/>
        <v>#N/A</v>
      </c>
      <c r="BM47" s="158" t="e">
        <f t="shared" si="87"/>
        <v>#N/A</v>
      </c>
      <c r="BN47" s="19"/>
      <c r="BQ47" s="4">
        <v>39</v>
      </c>
      <c r="BR47" s="4" t="e">
        <f t="shared" si="51"/>
        <v>#N/A</v>
      </c>
      <c r="BS47" s="4" t="e">
        <f t="shared" si="52"/>
        <v>#N/A</v>
      </c>
      <c r="BT47" s="4" t="e">
        <f t="shared" si="53"/>
        <v>#N/A</v>
      </c>
      <c r="BV47" s="4">
        <v>39</v>
      </c>
      <c r="BW47" s="4" t="e">
        <f t="shared" si="54"/>
        <v>#N/A</v>
      </c>
      <c r="BX47" s="4" t="e">
        <f t="shared" si="55"/>
        <v>#N/A</v>
      </c>
      <c r="BZ47" s="4">
        <v>39</v>
      </c>
      <c r="CA47" s="4" t="e">
        <f t="shared" si="56"/>
        <v>#N/A</v>
      </c>
      <c r="CB47" s="4" t="e">
        <f t="shared" si="57"/>
        <v>#N/A</v>
      </c>
      <c r="CC47" s="4" t="e">
        <f t="shared" si="58"/>
        <v>#N/A</v>
      </c>
      <c r="CD47" s="4" t="e">
        <f t="shared" si="59"/>
        <v>#N/A</v>
      </c>
      <c r="CG47" s="4">
        <v>39</v>
      </c>
      <c r="CH47" s="4" t="e">
        <f t="shared" si="88"/>
        <v>#N/A</v>
      </c>
      <c r="CI47" s="4" t="e">
        <f t="shared" si="89"/>
        <v>#N/A</v>
      </c>
      <c r="CJ47" s="4" t="e">
        <f t="shared" si="90"/>
        <v>#N/A</v>
      </c>
      <c r="CL47">
        <f t="shared" si="67"/>
        <v>0</v>
      </c>
      <c r="CM47">
        <f t="shared" si="68"/>
        <v>0</v>
      </c>
    </row>
    <row r="48" spans="2:91" ht="15.75" thickBot="1" x14ac:dyDescent="0.3">
      <c r="B48">
        <f t="shared" si="61"/>
        <v>0</v>
      </c>
      <c r="C48" s="16">
        <v>40</v>
      </c>
      <c r="D48" s="146" t="str">
        <f>IF('Front sheet'!$F21="","",'Front sheet'!$F21)</f>
        <v/>
      </c>
      <c r="E48" s="148" t="e">
        <f>IF('Front sheet'!H21="",NA(),'Front sheet'!H21)</f>
        <v>#N/A</v>
      </c>
      <c r="F48" s="196" t="e">
        <f>IF('Front sheet'!H21="",NA(),'Front sheet'!G21/'Front sheet'!H21)</f>
        <v>#N/A</v>
      </c>
      <c r="G48" s="205">
        <f t="shared" ca="1" si="69"/>
        <v>0.87525423728813556</v>
      </c>
      <c r="H48" s="201" t="e">
        <f t="shared" ca="1" si="33"/>
        <v>#N/A</v>
      </c>
      <c r="I48" s="157" t="e">
        <f t="shared" ca="1" si="34"/>
        <v>#N/A</v>
      </c>
      <c r="J48" s="151" t="e">
        <f>IF('Front sheet'!H21="",NA(),'Front sheet'!G21)</f>
        <v>#N/A</v>
      </c>
      <c r="K48" s="10" t="str">
        <f t="shared" si="70"/>
        <v/>
      </c>
      <c r="L48" s="9" t="e">
        <f t="shared" ca="1" si="71"/>
        <v>#N/A</v>
      </c>
      <c r="M48" s="8" t="e">
        <f t="shared" ca="1" si="72"/>
        <v>#N/A</v>
      </c>
      <c r="N48" t="e">
        <f t="shared" ca="1" si="73"/>
        <v>#N/A</v>
      </c>
      <c r="O48" s="8" t="e">
        <f t="shared" ca="1" si="60"/>
        <v>#N/A</v>
      </c>
      <c r="P48" t="e">
        <f t="shared" ca="1" si="74"/>
        <v>#N/A</v>
      </c>
      <c r="Q48" s="8">
        <f>IF(ISERROR($F48),0,IF($F48&gt;$H48,MAX($Q$8:Q47)+1,0))</f>
        <v>0</v>
      </c>
      <c r="R48" s="8">
        <f>IF(ISERROR($F48),0,IF($F48&lt;$I48,MAX($R$8:R47)+1,0))</f>
        <v>0</v>
      </c>
      <c r="T48" s="8">
        <f t="shared" si="75"/>
        <v>0</v>
      </c>
      <c r="U48" s="8">
        <f t="shared" ca="1" si="37"/>
        <v>0</v>
      </c>
      <c r="W48" s="8">
        <f t="shared" si="76"/>
        <v>0</v>
      </c>
      <c r="X48" s="8">
        <f t="shared" ca="1" si="38"/>
        <v>0</v>
      </c>
      <c r="Z48" s="8">
        <f t="shared" si="77"/>
        <v>0</v>
      </c>
      <c r="AA48" s="8">
        <f t="shared" si="39"/>
        <v>0</v>
      </c>
      <c r="AC48" s="8">
        <f t="shared" si="78"/>
        <v>0</v>
      </c>
      <c r="AD48" s="8">
        <f t="shared" si="40"/>
        <v>0</v>
      </c>
      <c r="AF48" s="8">
        <f t="shared" si="41"/>
        <v>0</v>
      </c>
      <c r="AG48" s="8">
        <f t="shared" si="42"/>
        <v>0</v>
      </c>
      <c r="AH48" s="8">
        <f t="shared" si="43"/>
        <v>0</v>
      </c>
      <c r="AI48" s="8">
        <f t="shared" si="44"/>
        <v>0</v>
      </c>
      <c r="AK48" s="11" t="e">
        <f t="shared" si="12"/>
        <v>#N/A</v>
      </c>
      <c r="AL48" s="8"/>
      <c r="AN48" s="8"/>
      <c r="AO48" s="8"/>
      <c r="AP48" s="8" t="e">
        <f>IF(C48&lt;=$E$3,IF(OR('Front sheet'!$Q$3="",'Front sheet'!$Q$3=0),NA(),'Front sheet'!$Q$3),NA())</f>
        <v>#N/A</v>
      </c>
      <c r="AQ48" s="8" t="e">
        <f t="shared" ca="1" si="45"/>
        <v>#N/A</v>
      </c>
      <c r="AR48" s="8" t="e">
        <f t="shared" ca="1" si="46"/>
        <v>#N/A</v>
      </c>
      <c r="AS48" s="8" t="e">
        <f t="shared" ca="1" si="47"/>
        <v>#N/A</v>
      </c>
      <c r="AT48" s="8" t="e">
        <f t="shared" ca="1" si="48"/>
        <v>#N/A</v>
      </c>
      <c r="AU48" s="8" t="e">
        <f t="shared" si="49"/>
        <v>#N/A</v>
      </c>
      <c r="AV48" s="8" t="e">
        <f t="shared" ca="1" si="50"/>
        <v>#N/A</v>
      </c>
      <c r="AX48" s="7" t="str">
        <f t="shared" si="79"/>
        <v/>
      </c>
      <c r="AY48" s="2" t="str">
        <f t="shared" si="80"/>
        <v/>
      </c>
      <c r="BA48" s="2">
        <v>40</v>
      </c>
      <c r="BB48">
        <f t="shared" ca="1" si="81"/>
        <v>3</v>
      </c>
      <c r="BC48" s="14" t="str">
        <f t="shared" si="82"/>
        <v/>
      </c>
      <c r="BD48" s="5" t="e">
        <f t="shared" si="62"/>
        <v>#N/A</v>
      </c>
      <c r="BE48" s="5" t="e">
        <f t="shared" si="63"/>
        <v>#N/A</v>
      </c>
      <c r="BF48" s="5" t="e">
        <f t="shared" si="64"/>
        <v>#N/A</v>
      </c>
      <c r="BG48" s="5" t="e">
        <f t="shared" si="65"/>
        <v>#N/A</v>
      </c>
      <c r="BH48" s="5" t="e">
        <f t="shared" si="66"/>
        <v>#N/A</v>
      </c>
      <c r="BI48">
        <f t="shared" ca="1" si="83"/>
        <v>1</v>
      </c>
      <c r="BJ48" s="158" t="e">
        <f t="shared" si="84"/>
        <v>#N/A</v>
      </c>
      <c r="BK48" s="158" t="e">
        <f t="shared" si="85"/>
        <v>#N/A</v>
      </c>
      <c r="BL48" s="158" t="e">
        <f t="shared" si="86"/>
        <v>#N/A</v>
      </c>
      <c r="BM48" s="158" t="e">
        <f t="shared" si="87"/>
        <v>#N/A</v>
      </c>
      <c r="BN48" s="19"/>
      <c r="BQ48" s="4">
        <v>40</v>
      </c>
      <c r="BR48" s="4" t="e">
        <f t="shared" si="51"/>
        <v>#N/A</v>
      </c>
      <c r="BS48" s="4" t="e">
        <f t="shared" si="52"/>
        <v>#N/A</v>
      </c>
      <c r="BT48" s="4" t="e">
        <f t="shared" si="53"/>
        <v>#N/A</v>
      </c>
      <c r="BV48" s="4">
        <v>40</v>
      </c>
      <c r="BW48" s="4" t="e">
        <f t="shared" si="54"/>
        <v>#N/A</v>
      </c>
      <c r="BX48" s="4" t="e">
        <f t="shared" si="55"/>
        <v>#N/A</v>
      </c>
      <c r="BZ48" s="4">
        <v>40</v>
      </c>
      <c r="CA48" s="4" t="e">
        <f t="shared" si="56"/>
        <v>#N/A</v>
      </c>
      <c r="CB48" s="4" t="e">
        <f t="shared" si="57"/>
        <v>#N/A</v>
      </c>
      <c r="CC48" s="4" t="e">
        <f t="shared" si="58"/>
        <v>#N/A</v>
      </c>
      <c r="CD48" s="4" t="e">
        <f t="shared" si="59"/>
        <v>#N/A</v>
      </c>
      <c r="CG48" s="4">
        <v>40</v>
      </c>
      <c r="CH48" s="4" t="e">
        <f t="shared" si="88"/>
        <v>#N/A</v>
      </c>
      <c r="CI48" s="4" t="e">
        <f t="shared" si="89"/>
        <v>#N/A</v>
      </c>
      <c r="CJ48" s="4" t="e">
        <f t="shared" si="90"/>
        <v>#N/A</v>
      </c>
      <c r="CL48">
        <f t="shared" si="67"/>
        <v>0</v>
      </c>
      <c r="CM48">
        <f t="shared" si="68"/>
        <v>0</v>
      </c>
    </row>
    <row r="49" spans="2:91" ht="15.75" thickBot="1" x14ac:dyDescent="0.3">
      <c r="B49">
        <f t="shared" si="61"/>
        <v>0</v>
      </c>
      <c r="C49" s="16">
        <v>41</v>
      </c>
      <c r="D49" s="146" t="str">
        <f>IF('Front sheet'!$F22="","",'Front sheet'!$F22)</f>
        <v/>
      </c>
      <c r="E49" s="148" t="e">
        <f>IF('Front sheet'!H22="",NA(),'Front sheet'!H22)</f>
        <v>#N/A</v>
      </c>
      <c r="F49" s="196" t="e">
        <f>IF('Front sheet'!H22="",NA(),'Front sheet'!G22/'Front sheet'!H22)</f>
        <v>#N/A</v>
      </c>
      <c r="G49" s="205">
        <f t="shared" ca="1" si="69"/>
        <v>0.87525423728813556</v>
      </c>
      <c r="H49" s="201" t="e">
        <f t="shared" ca="1" si="33"/>
        <v>#N/A</v>
      </c>
      <c r="I49" s="157" t="e">
        <f t="shared" ca="1" si="34"/>
        <v>#N/A</v>
      </c>
      <c r="J49" s="151" t="e">
        <f>IF('Front sheet'!H22="",NA(),'Front sheet'!G22)</f>
        <v>#N/A</v>
      </c>
      <c r="K49" s="10" t="str">
        <f t="shared" si="70"/>
        <v/>
      </c>
      <c r="L49" s="9" t="e">
        <f t="shared" ca="1" si="71"/>
        <v>#N/A</v>
      </c>
      <c r="M49" s="8" t="e">
        <f t="shared" ca="1" si="72"/>
        <v>#N/A</v>
      </c>
      <c r="N49" t="e">
        <f t="shared" ca="1" si="73"/>
        <v>#N/A</v>
      </c>
      <c r="O49" s="8" t="e">
        <f t="shared" ca="1" si="60"/>
        <v>#N/A</v>
      </c>
      <c r="P49" t="e">
        <f t="shared" ca="1" si="74"/>
        <v>#N/A</v>
      </c>
      <c r="Q49" s="8">
        <f>IF(ISERROR($F49),0,IF($F49&gt;$H49,MAX($Q$8:Q48)+1,0))</f>
        <v>0</v>
      </c>
      <c r="R49" s="8">
        <f>IF(ISERROR($F49),0,IF($F49&lt;$I49,MAX($R$8:R48)+1,0))</f>
        <v>0</v>
      </c>
      <c r="T49" s="8">
        <f t="shared" si="75"/>
        <v>0</v>
      </c>
      <c r="U49" s="8">
        <f t="shared" ca="1" si="37"/>
        <v>0</v>
      </c>
      <c r="W49" s="8">
        <f t="shared" si="76"/>
        <v>0</v>
      </c>
      <c r="X49" s="8">
        <f t="shared" ca="1" si="38"/>
        <v>0</v>
      </c>
      <c r="Z49" s="8">
        <f t="shared" si="77"/>
        <v>0</v>
      </c>
      <c r="AA49" s="8">
        <f t="shared" si="39"/>
        <v>0</v>
      </c>
      <c r="AC49" s="8">
        <f t="shared" si="78"/>
        <v>0</v>
      </c>
      <c r="AD49" s="8">
        <f t="shared" si="40"/>
        <v>0</v>
      </c>
      <c r="AF49" s="8">
        <f t="shared" si="41"/>
        <v>0</v>
      </c>
      <c r="AG49" s="8">
        <f t="shared" si="42"/>
        <v>0</v>
      </c>
      <c r="AH49" s="8">
        <f t="shared" si="43"/>
        <v>0</v>
      </c>
      <c r="AI49" s="8">
        <f t="shared" si="44"/>
        <v>0</v>
      </c>
      <c r="AK49" s="11" t="e">
        <f t="shared" si="12"/>
        <v>#N/A</v>
      </c>
      <c r="AL49" s="8"/>
      <c r="AN49" s="8"/>
      <c r="AO49" s="8"/>
      <c r="AP49" s="8" t="e">
        <f>IF(C49&lt;=$E$3,IF(OR('Front sheet'!$Q$3="",'Front sheet'!$Q$3=0),NA(),'Front sheet'!$Q$3),NA())</f>
        <v>#N/A</v>
      </c>
      <c r="AQ49" s="8" t="e">
        <f t="shared" ca="1" si="45"/>
        <v>#N/A</v>
      </c>
      <c r="AR49" s="8" t="e">
        <f t="shared" ca="1" si="46"/>
        <v>#N/A</v>
      </c>
      <c r="AS49" s="8" t="e">
        <f t="shared" ca="1" si="47"/>
        <v>#N/A</v>
      </c>
      <c r="AT49" s="8" t="e">
        <f t="shared" ca="1" si="48"/>
        <v>#N/A</v>
      </c>
      <c r="AU49" s="8" t="e">
        <f t="shared" si="49"/>
        <v>#N/A</v>
      </c>
      <c r="AV49" s="8" t="e">
        <f t="shared" ca="1" si="50"/>
        <v>#N/A</v>
      </c>
      <c r="AX49" s="7" t="str">
        <f t="shared" si="79"/>
        <v/>
      </c>
      <c r="AY49" s="2" t="str">
        <f t="shared" si="80"/>
        <v/>
      </c>
      <c r="BA49" s="2">
        <v>41</v>
      </c>
      <c r="BB49">
        <f t="shared" ca="1" si="81"/>
        <v>3</v>
      </c>
      <c r="BC49" s="14" t="str">
        <f t="shared" si="82"/>
        <v/>
      </c>
      <c r="BD49" s="5" t="e">
        <f t="shared" si="62"/>
        <v>#N/A</v>
      </c>
      <c r="BE49" s="5" t="e">
        <f t="shared" si="63"/>
        <v>#N/A</v>
      </c>
      <c r="BF49" s="5" t="e">
        <f t="shared" si="64"/>
        <v>#N/A</v>
      </c>
      <c r="BG49" s="5" t="e">
        <f t="shared" si="65"/>
        <v>#N/A</v>
      </c>
      <c r="BH49" s="5" t="e">
        <f t="shared" si="66"/>
        <v>#N/A</v>
      </c>
      <c r="BI49">
        <f t="shared" ca="1" si="83"/>
        <v>1</v>
      </c>
      <c r="BJ49" s="158" t="e">
        <f t="shared" si="84"/>
        <v>#N/A</v>
      </c>
      <c r="BK49" s="158" t="e">
        <f t="shared" si="85"/>
        <v>#N/A</v>
      </c>
      <c r="BL49" s="158" t="e">
        <f t="shared" si="86"/>
        <v>#N/A</v>
      </c>
      <c r="BM49" s="158" t="e">
        <f t="shared" si="87"/>
        <v>#N/A</v>
      </c>
      <c r="BN49" s="19"/>
      <c r="BQ49" s="4">
        <v>41</v>
      </c>
      <c r="BR49" s="4" t="e">
        <f t="shared" si="51"/>
        <v>#N/A</v>
      </c>
      <c r="BS49" s="4" t="e">
        <f t="shared" si="52"/>
        <v>#N/A</v>
      </c>
      <c r="BT49" s="4" t="e">
        <f t="shared" si="53"/>
        <v>#N/A</v>
      </c>
      <c r="BV49" s="4">
        <v>41</v>
      </c>
      <c r="BW49" s="4" t="e">
        <f t="shared" si="54"/>
        <v>#N/A</v>
      </c>
      <c r="BX49" s="4" t="e">
        <f t="shared" si="55"/>
        <v>#N/A</v>
      </c>
      <c r="BZ49" s="4">
        <v>41</v>
      </c>
      <c r="CA49" s="4" t="e">
        <f t="shared" si="56"/>
        <v>#N/A</v>
      </c>
      <c r="CB49" s="4" t="e">
        <f t="shared" si="57"/>
        <v>#N/A</v>
      </c>
      <c r="CC49" s="4" t="e">
        <f t="shared" si="58"/>
        <v>#N/A</v>
      </c>
      <c r="CD49" s="4" t="e">
        <f t="shared" si="59"/>
        <v>#N/A</v>
      </c>
      <c r="CG49" s="4">
        <v>41</v>
      </c>
      <c r="CH49" s="4" t="e">
        <f t="shared" si="88"/>
        <v>#N/A</v>
      </c>
      <c r="CI49" s="4" t="e">
        <f t="shared" si="89"/>
        <v>#N/A</v>
      </c>
      <c r="CJ49" s="4" t="e">
        <f t="shared" si="90"/>
        <v>#N/A</v>
      </c>
      <c r="CL49">
        <f t="shared" si="67"/>
        <v>0</v>
      </c>
      <c r="CM49">
        <f t="shared" si="68"/>
        <v>0</v>
      </c>
    </row>
    <row r="50" spans="2:91" ht="15.75" thickBot="1" x14ac:dyDescent="0.3">
      <c r="B50">
        <f t="shared" si="61"/>
        <v>0</v>
      </c>
      <c r="C50" s="13">
        <v>42</v>
      </c>
      <c r="D50" s="147" t="str">
        <f>IF('Front sheet'!$F23="","",'Front sheet'!$F23)</f>
        <v/>
      </c>
      <c r="E50" s="152" t="e">
        <f>IF('Front sheet'!H23="",NA(),'Front sheet'!H23)</f>
        <v>#N/A</v>
      </c>
      <c r="F50" s="199" t="e">
        <f>IF('Front sheet'!H23="",NA(),'Front sheet'!G23/'Front sheet'!H23)</f>
        <v>#N/A</v>
      </c>
      <c r="G50" s="205">
        <f t="shared" ca="1" si="69"/>
        <v>0.87525423728813556</v>
      </c>
      <c r="H50" s="204" t="e">
        <f t="shared" ca="1" si="33"/>
        <v>#N/A</v>
      </c>
      <c r="I50" s="190" t="e">
        <f t="shared" ca="1" si="34"/>
        <v>#N/A</v>
      </c>
      <c r="J50" s="191" t="e">
        <f>IF('Front sheet'!H23="",NA(),'Front sheet'!G23)</f>
        <v>#N/A</v>
      </c>
      <c r="K50" s="10" t="str">
        <f t="shared" si="70"/>
        <v/>
      </c>
      <c r="L50" s="9" t="e">
        <f t="shared" ca="1" si="71"/>
        <v>#N/A</v>
      </c>
      <c r="M50" s="8" t="e">
        <f t="shared" ca="1" si="72"/>
        <v>#N/A</v>
      </c>
      <c r="N50" t="e">
        <f t="shared" ca="1" si="73"/>
        <v>#N/A</v>
      </c>
      <c r="O50" s="8" t="e">
        <f t="shared" ca="1" si="60"/>
        <v>#N/A</v>
      </c>
      <c r="P50" t="e">
        <f t="shared" ca="1" si="74"/>
        <v>#N/A</v>
      </c>
      <c r="Q50" s="8">
        <f>IF(ISERROR($F50),0,IF($F50&gt;$H50,MAX($Q$8:Q49)+1,0))</f>
        <v>0</v>
      </c>
      <c r="R50" s="8">
        <f>IF(ISERROR($F50),0,IF($F50&lt;$I50,MAX($R$8:R49)+1,0))</f>
        <v>0</v>
      </c>
      <c r="T50" s="8">
        <f t="shared" si="75"/>
        <v>0</v>
      </c>
      <c r="U50" s="8">
        <f t="shared" ca="1" si="37"/>
        <v>0</v>
      </c>
      <c r="W50" s="8">
        <f t="shared" si="76"/>
        <v>0</v>
      </c>
      <c r="X50" s="8">
        <f t="shared" ca="1" si="38"/>
        <v>0</v>
      </c>
      <c r="Z50" s="8">
        <f t="shared" si="77"/>
        <v>0</v>
      </c>
      <c r="AA50" s="8">
        <f t="shared" si="39"/>
        <v>0</v>
      </c>
      <c r="AC50" s="8">
        <f t="shared" si="78"/>
        <v>0</v>
      </c>
      <c r="AD50" s="8">
        <f t="shared" si="40"/>
        <v>0</v>
      </c>
      <c r="AF50" s="8">
        <f t="shared" si="41"/>
        <v>0</v>
      </c>
      <c r="AG50" s="8">
        <f t="shared" si="42"/>
        <v>0</v>
      </c>
      <c r="AH50" s="8">
        <f t="shared" si="43"/>
        <v>0</v>
      </c>
      <c r="AI50" s="8">
        <f t="shared" si="44"/>
        <v>0</v>
      </c>
      <c r="AK50" s="11" t="e">
        <f t="shared" si="12"/>
        <v>#N/A</v>
      </c>
      <c r="AL50" s="8"/>
      <c r="AN50" s="8"/>
      <c r="AO50" s="8"/>
      <c r="AP50" s="8" t="e">
        <f>IF(C50&lt;=$E$3,IF(OR('Front sheet'!$Q$3="",'Front sheet'!$Q$3=0),NA(),'Front sheet'!$Q$3),NA())</f>
        <v>#N/A</v>
      </c>
      <c r="AQ50" s="8" t="e">
        <f t="shared" ca="1" si="45"/>
        <v>#N/A</v>
      </c>
      <c r="AR50" s="8" t="e">
        <f t="shared" ca="1" si="46"/>
        <v>#N/A</v>
      </c>
      <c r="AS50" s="8" t="e">
        <f t="shared" ca="1" si="47"/>
        <v>#N/A</v>
      </c>
      <c r="AT50" s="8" t="e">
        <f t="shared" ca="1" si="48"/>
        <v>#N/A</v>
      </c>
      <c r="AU50" s="8" t="e">
        <f t="shared" si="49"/>
        <v>#N/A</v>
      </c>
      <c r="AV50" s="8" t="e">
        <f t="shared" ca="1" si="50"/>
        <v>#N/A</v>
      </c>
      <c r="AX50" s="7" t="str">
        <f t="shared" si="79"/>
        <v/>
      </c>
      <c r="AY50" s="2" t="str">
        <f t="shared" si="80"/>
        <v/>
      </c>
      <c r="BA50" s="2">
        <v>42</v>
      </c>
      <c r="BB50">
        <f t="shared" ca="1" si="81"/>
        <v>3</v>
      </c>
      <c r="BC50" s="14" t="str">
        <f t="shared" si="82"/>
        <v/>
      </c>
      <c r="BD50" s="5" t="e">
        <f t="shared" si="62"/>
        <v>#N/A</v>
      </c>
      <c r="BE50" s="5" t="e">
        <f t="shared" si="63"/>
        <v>#N/A</v>
      </c>
      <c r="BF50" s="5" t="e">
        <f t="shared" si="64"/>
        <v>#N/A</v>
      </c>
      <c r="BG50" s="5" t="e">
        <f t="shared" si="65"/>
        <v>#N/A</v>
      </c>
      <c r="BH50" s="5" t="e">
        <f t="shared" si="66"/>
        <v>#N/A</v>
      </c>
      <c r="BI50">
        <f t="shared" ca="1" si="83"/>
        <v>1</v>
      </c>
      <c r="BJ50" s="158" t="e">
        <f t="shared" si="84"/>
        <v>#N/A</v>
      </c>
      <c r="BK50" s="158" t="e">
        <f t="shared" si="85"/>
        <v>#N/A</v>
      </c>
      <c r="BL50" s="158" t="e">
        <f t="shared" si="86"/>
        <v>#N/A</v>
      </c>
      <c r="BM50" s="158" t="e">
        <f t="shared" si="87"/>
        <v>#N/A</v>
      </c>
      <c r="BN50" s="19"/>
      <c r="BQ50" s="4">
        <v>42</v>
      </c>
      <c r="BR50" s="4" t="e">
        <f t="shared" si="51"/>
        <v>#N/A</v>
      </c>
      <c r="BS50" s="4" t="e">
        <f t="shared" si="52"/>
        <v>#N/A</v>
      </c>
      <c r="BT50" s="4" t="e">
        <f t="shared" si="53"/>
        <v>#N/A</v>
      </c>
      <c r="BV50" s="4">
        <v>42</v>
      </c>
      <c r="BW50" s="4" t="e">
        <f t="shared" si="54"/>
        <v>#N/A</v>
      </c>
      <c r="BX50" s="4" t="e">
        <f t="shared" si="55"/>
        <v>#N/A</v>
      </c>
      <c r="BZ50" s="4">
        <v>42</v>
      </c>
      <c r="CA50" s="4" t="e">
        <f t="shared" si="56"/>
        <v>#N/A</v>
      </c>
      <c r="CB50" s="4" t="e">
        <f t="shared" si="57"/>
        <v>#N/A</v>
      </c>
      <c r="CC50" s="4" t="e">
        <f t="shared" si="58"/>
        <v>#N/A</v>
      </c>
      <c r="CD50" s="4" t="e">
        <f t="shared" si="59"/>
        <v>#N/A</v>
      </c>
      <c r="CG50" s="4">
        <v>42</v>
      </c>
      <c r="CH50" s="4" t="e">
        <f t="shared" si="88"/>
        <v>#N/A</v>
      </c>
      <c r="CI50" s="4" t="e">
        <f t="shared" si="89"/>
        <v>#N/A</v>
      </c>
      <c r="CJ50" s="4" t="e">
        <f t="shared" si="90"/>
        <v>#N/A</v>
      </c>
      <c r="CL50">
        <f t="shared" si="67"/>
        <v>0</v>
      </c>
      <c r="CM50">
        <f t="shared" si="68"/>
        <v>0</v>
      </c>
    </row>
    <row r="51" spans="2:91" ht="15.75" thickBot="1" x14ac:dyDescent="0.3">
      <c r="B51">
        <f t="shared" si="61"/>
        <v>0</v>
      </c>
      <c r="C51" s="18">
        <v>43</v>
      </c>
      <c r="D51" s="154" t="str">
        <f>IF('Front sheet'!$F24="","",'Front sheet'!$F24)</f>
        <v/>
      </c>
      <c r="E51" s="149" t="e">
        <f>IF('Front sheet'!H24="",NA(),'Front sheet'!H24)</f>
        <v>#N/A</v>
      </c>
      <c r="F51" s="195" t="e">
        <f>IF('Front sheet'!H24="",NA(),'Front sheet'!G24/'Front sheet'!H24)</f>
        <v>#N/A</v>
      </c>
      <c r="G51" s="206">
        <f t="shared" ca="1" si="69"/>
        <v>0.87525423728813556</v>
      </c>
      <c r="H51" s="200" t="e">
        <f t="shared" ca="1" si="33"/>
        <v>#N/A</v>
      </c>
      <c r="I51" s="192" t="e">
        <f t="shared" ca="1" si="34"/>
        <v>#N/A</v>
      </c>
      <c r="J51" s="150" t="e">
        <f>IF('Front sheet'!H24="",NA(),'Front sheet'!G24)</f>
        <v>#N/A</v>
      </c>
      <c r="K51" s="10" t="str">
        <f t="shared" si="70"/>
        <v/>
      </c>
      <c r="L51" s="9" t="e">
        <f t="shared" ca="1" si="71"/>
        <v>#N/A</v>
      </c>
      <c r="M51" s="8" t="e">
        <f t="shared" ca="1" si="72"/>
        <v>#N/A</v>
      </c>
      <c r="N51" t="e">
        <f t="shared" ca="1" si="73"/>
        <v>#N/A</v>
      </c>
      <c r="O51" s="8" t="e">
        <f t="shared" ca="1" si="60"/>
        <v>#N/A</v>
      </c>
      <c r="P51" t="e">
        <f t="shared" ca="1" si="74"/>
        <v>#N/A</v>
      </c>
      <c r="Q51" s="8">
        <f>IF(ISERROR($F51),0,IF($F51&gt;$H51,MAX($Q$8:Q50)+1,0))</f>
        <v>0</v>
      </c>
      <c r="R51" s="8">
        <f>IF(ISERROR($F51),0,IF($F51&lt;$I51,MAX($R$8:R50)+1,0))</f>
        <v>0</v>
      </c>
      <c r="T51" s="8">
        <f t="shared" si="75"/>
        <v>0</v>
      </c>
      <c r="U51" s="8">
        <f t="shared" ca="1" si="37"/>
        <v>0</v>
      </c>
      <c r="W51" s="8">
        <f t="shared" si="76"/>
        <v>0</v>
      </c>
      <c r="X51" s="8">
        <f t="shared" ca="1" si="38"/>
        <v>0</v>
      </c>
      <c r="Z51" s="8">
        <f t="shared" si="77"/>
        <v>0</v>
      </c>
      <c r="AA51" s="8">
        <f t="shared" si="39"/>
        <v>0</v>
      </c>
      <c r="AC51" s="8">
        <f t="shared" si="78"/>
        <v>0</v>
      </c>
      <c r="AD51" s="8">
        <f t="shared" si="40"/>
        <v>0</v>
      </c>
      <c r="AF51" s="8">
        <f t="shared" si="41"/>
        <v>0</v>
      </c>
      <c r="AG51" s="8">
        <f t="shared" si="42"/>
        <v>0</v>
      </c>
      <c r="AH51" s="8">
        <f t="shared" si="43"/>
        <v>0</v>
      </c>
      <c r="AI51" s="8">
        <f t="shared" si="44"/>
        <v>0</v>
      </c>
      <c r="AK51" s="11" t="e">
        <f t="shared" si="12"/>
        <v>#N/A</v>
      </c>
      <c r="AL51" s="8"/>
      <c r="AN51" s="8"/>
      <c r="AO51" s="8"/>
      <c r="AP51" s="8" t="e">
        <f>IF(C51&lt;=$E$3,IF(OR('Front sheet'!$Q$3="",'Front sheet'!$Q$3=0),NA(),'Front sheet'!$Q$3),NA())</f>
        <v>#N/A</v>
      </c>
      <c r="AQ51" s="8" t="e">
        <f t="shared" ca="1" si="45"/>
        <v>#N/A</v>
      </c>
      <c r="AR51" s="8" t="e">
        <f t="shared" ca="1" si="46"/>
        <v>#N/A</v>
      </c>
      <c r="AS51" s="8" t="e">
        <f t="shared" ca="1" si="47"/>
        <v>#N/A</v>
      </c>
      <c r="AT51" s="8" t="e">
        <f t="shared" ca="1" si="48"/>
        <v>#N/A</v>
      </c>
      <c r="AU51" s="8" t="e">
        <f t="shared" si="49"/>
        <v>#N/A</v>
      </c>
      <c r="AV51" s="8" t="e">
        <f t="shared" ca="1" si="50"/>
        <v>#N/A</v>
      </c>
      <c r="AX51" s="7" t="str">
        <f t="shared" si="79"/>
        <v/>
      </c>
      <c r="AY51" s="2" t="str">
        <f t="shared" si="80"/>
        <v/>
      </c>
      <c r="BA51" s="2">
        <v>43</v>
      </c>
      <c r="BB51">
        <f t="shared" ca="1" si="81"/>
        <v>3</v>
      </c>
      <c r="BC51" s="14" t="str">
        <f t="shared" si="82"/>
        <v/>
      </c>
      <c r="BD51" s="5" t="e">
        <f t="shared" si="62"/>
        <v>#N/A</v>
      </c>
      <c r="BE51" s="5" t="e">
        <f t="shared" si="63"/>
        <v>#N/A</v>
      </c>
      <c r="BF51" s="5" t="e">
        <f t="shared" si="64"/>
        <v>#N/A</v>
      </c>
      <c r="BG51" s="5" t="e">
        <f t="shared" si="65"/>
        <v>#N/A</v>
      </c>
      <c r="BH51" s="5" t="e">
        <f t="shared" si="66"/>
        <v>#N/A</v>
      </c>
      <c r="BI51">
        <f t="shared" ca="1" si="83"/>
        <v>1</v>
      </c>
      <c r="BJ51" s="158" t="e">
        <f t="shared" si="84"/>
        <v>#N/A</v>
      </c>
      <c r="BK51" s="158" t="e">
        <f t="shared" si="85"/>
        <v>#N/A</v>
      </c>
      <c r="BL51" s="158" t="e">
        <f t="shared" si="86"/>
        <v>#N/A</v>
      </c>
      <c r="BM51" s="158" t="e">
        <f t="shared" si="87"/>
        <v>#N/A</v>
      </c>
      <c r="BN51" s="19"/>
      <c r="BQ51" s="4">
        <v>43</v>
      </c>
      <c r="BR51" s="4" t="e">
        <f t="shared" si="51"/>
        <v>#N/A</v>
      </c>
      <c r="BS51" s="4" t="e">
        <f t="shared" si="52"/>
        <v>#N/A</v>
      </c>
      <c r="BT51" s="4" t="e">
        <f t="shared" si="53"/>
        <v>#N/A</v>
      </c>
      <c r="BV51" s="4">
        <v>43</v>
      </c>
      <c r="BW51" s="4" t="e">
        <f t="shared" si="54"/>
        <v>#N/A</v>
      </c>
      <c r="BX51" s="4" t="e">
        <f t="shared" si="55"/>
        <v>#N/A</v>
      </c>
      <c r="BZ51" s="4">
        <v>43</v>
      </c>
      <c r="CA51" s="4" t="e">
        <f t="shared" si="56"/>
        <v>#N/A</v>
      </c>
      <c r="CB51" s="4" t="e">
        <f t="shared" si="57"/>
        <v>#N/A</v>
      </c>
      <c r="CC51" s="4" t="e">
        <f t="shared" si="58"/>
        <v>#N/A</v>
      </c>
      <c r="CD51" s="4" t="e">
        <f t="shared" si="59"/>
        <v>#N/A</v>
      </c>
      <c r="CG51" s="4">
        <v>43</v>
      </c>
      <c r="CH51" s="4" t="e">
        <f t="shared" si="88"/>
        <v>#N/A</v>
      </c>
      <c r="CI51" s="4" t="e">
        <f t="shared" si="89"/>
        <v>#N/A</v>
      </c>
      <c r="CJ51" s="4" t="e">
        <f t="shared" si="90"/>
        <v>#N/A</v>
      </c>
      <c r="CL51">
        <f t="shared" si="67"/>
        <v>0</v>
      </c>
      <c r="CM51">
        <f t="shared" si="68"/>
        <v>0</v>
      </c>
    </row>
    <row r="52" spans="2:91" ht="15.75" thickBot="1" x14ac:dyDescent="0.3">
      <c r="B52">
        <f t="shared" si="61"/>
        <v>0</v>
      </c>
      <c r="C52" s="16">
        <v>44</v>
      </c>
      <c r="D52" s="146" t="str">
        <f>IF('Front sheet'!$F25="","",'Front sheet'!$F25)</f>
        <v/>
      </c>
      <c r="E52" s="148" t="e">
        <f>IF('Front sheet'!H25="",NA(),'Front sheet'!H25)</f>
        <v>#N/A</v>
      </c>
      <c r="F52" s="196" t="e">
        <f>IF('Front sheet'!H25="",NA(),'Front sheet'!G25/'Front sheet'!H25)</f>
        <v>#N/A</v>
      </c>
      <c r="G52" s="205">
        <f t="shared" ca="1" si="69"/>
        <v>0.87525423728813556</v>
      </c>
      <c r="H52" s="201" t="e">
        <f t="shared" ca="1" si="33"/>
        <v>#N/A</v>
      </c>
      <c r="I52" s="157" t="e">
        <f t="shared" ca="1" si="34"/>
        <v>#N/A</v>
      </c>
      <c r="J52" s="151" t="e">
        <f>IF('Front sheet'!H25="",NA(),'Front sheet'!G25)</f>
        <v>#N/A</v>
      </c>
      <c r="K52" s="10" t="str">
        <f t="shared" si="70"/>
        <v/>
      </c>
      <c r="L52" s="9" t="e">
        <f t="shared" ca="1" si="71"/>
        <v>#N/A</v>
      </c>
      <c r="M52" s="8" t="e">
        <f t="shared" ca="1" si="72"/>
        <v>#N/A</v>
      </c>
      <c r="N52" t="e">
        <f t="shared" ca="1" si="73"/>
        <v>#N/A</v>
      </c>
      <c r="O52" s="8" t="e">
        <f t="shared" ca="1" si="60"/>
        <v>#N/A</v>
      </c>
      <c r="P52" t="e">
        <f t="shared" ca="1" si="74"/>
        <v>#N/A</v>
      </c>
      <c r="Q52" s="8">
        <f>IF(ISERROR($F52),0,IF($F52&gt;$H52,MAX($Q$8:Q51)+1,0))</f>
        <v>0</v>
      </c>
      <c r="R52" s="8">
        <f>IF(ISERROR($F52),0,IF($F52&lt;$I52,MAX($R$8:R51)+1,0))</f>
        <v>0</v>
      </c>
      <c r="T52" s="8">
        <f t="shared" si="75"/>
        <v>0</v>
      </c>
      <c r="U52" s="8">
        <f t="shared" ca="1" si="37"/>
        <v>0</v>
      </c>
      <c r="W52" s="8">
        <f t="shared" si="76"/>
        <v>0</v>
      </c>
      <c r="X52" s="8">
        <f t="shared" ca="1" si="38"/>
        <v>0</v>
      </c>
      <c r="Z52" s="8">
        <f t="shared" si="77"/>
        <v>0</v>
      </c>
      <c r="AA52" s="8">
        <f t="shared" si="39"/>
        <v>0</v>
      </c>
      <c r="AC52" s="8">
        <f t="shared" si="78"/>
        <v>0</v>
      </c>
      <c r="AD52" s="8">
        <f t="shared" si="40"/>
        <v>0</v>
      </c>
      <c r="AF52" s="8">
        <f t="shared" si="41"/>
        <v>0</v>
      </c>
      <c r="AG52" s="8">
        <f t="shared" si="42"/>
        <v>0</v>
      </c>
      <c r="AH52" s="8">
        <f t="shared" si="43"/>
        <v>0</v>
      </c>
      <c r="AI52" s="8">
        <f t="shared" si="44"/>
        <v>0</v>
      </c>
      <c r="AK52" s="11" t="e">
        <f t="shared" si="12"/>
        <v>#N/A</v>
      </c>
      <c r="AL52" s="8"/>
      <c r="AN52" s="8"/>
      <c r="AO52" s="8"/>
      <c r="AP52" s="8" t="e">
        <f>IF(C52&lt;=$E$3,IF(OR('Front sheet'!$Q$3="",'Front sheet'!$Q$3=0),NA(),'Front sheet'!$Q$3),NA())</f>
        <v>#N/A</v>
      </c>
      <c r="AQ52" s="8" t="e">
        <f t="shared" ca="1" si="45"/>
        <v>#N/A</v>
      </c>
      <c r="AR52" s="8" t="e">
        <f t="shared" ca="1" si="46"/>
        <v>#N/A</v>
      </c>
      <c r="AS52" s="8" t="e">
        <f t="shared" ca="1" si="47"/>
        <v>#N/A</v>
      </c>
      <c r="AT52" s="8" t="e">
        <f t="shared" ca="1" si="48"/>
        <v>#N/A</v>
      </c>
      <c r="AU52" s="8" t="e">
        <f t="shared" si="49"/>
        <v>#N/A</v>
      </c>
      <c r="AV52" s="8" t="e">
        <f t="shared" ca="1" si="50"/>
        <v>#N/A</v>
      </c>
      <c r="AX52" s="7" t="str">
        <f t="shared" si="79"/>
        <v/>
      </c>
      <c r="AY52" s="2" t="str">
        <f t="shared" si="80"/>
        <v/>
      </c>
      <c r="BA52" s="2">
        <v>44</v>
      </c>
      <c r="BB52">
        <f t="shared" ca="1" si="81"/>
        <v>3</v>
      </c>
      <c r="BC52" s="14" t="str">
        <f t="shared" si="82"/>
        <v/>
      </c>
      <c r="BD52" s="5" t="e">
        <f t="shared" si="62"/>
        <v>#N/A</v>
      </c>
      <c r="BE52" s="5" t="e">
        <f t="shared" si="63"/>
        <v>#N/A</v>
      </c>
      <c r="BF52" s="5" t="e">
        <f t="shared" si="64"/>
        <v>#N/A</v>
      </c>
      <c r="BG52" s="5" t="e">
        <f t="shared" si="65"/>
        <v>#N/A</v>
      </c>
      <c r="BH52" s="5" t="e">
        <f t="shared" si="66"/>
        <v>#N/A</v>
      </c>
      <c r="BI52">
        <f t="shared" ca="1" si="83"/>
        <v>1</v>
      </c>
      <c r="BJ52" s="158" t="e">
        <f t="shared" si="84"/>
        <v>#N/A</v>
      </c>
      <c r="BK52" s="158" t="e">
        <f t="shared" si="85"/>
        <v>#N/A</v>
      </c>
      <c r="BL52" s="158" t="e">
        <f t="shared" si="86"/>
        <v>#N/A</v>
      </c>
      <c r="BM52" s="158" t="e">
        <f t="shared" si="87"/>
        <v>#N/A</v>
      </c>
      <c r="BN52" s="19"/>
      <c r="BQ52" s="4">
        <v>44</v>
      </c>
      <c r="BR52" s="4" t="e">
        <f t="shared" si="51"/>
        <v>#N/A</v>
      </c>
      <c r="BS52" s="4" t="e">
        <f t="shared" si="52"/>
        <v>#N/A</v>
      </c>
      <c r="BT52" s="4" t="e">
        <f t="shared" si="53"/>
        <v>#N/A</v>
      </c>
      <c r="BV52" s="4">
        <v>44</v>
      </c>
      <c r="BW52" s="4" t="e">
        <f t="shared" si="54"/>
        <v>#N/A</v>
      </c>
      <c r="BX52" s="4" t="e">
        <f t="shared" si="55"/>
        <v>#N/A</v>
      </c>
      <c r="BZ52" s="4">
        <v>44</v>
      </c>
      <c r="CA52" s="4" t="e">
        <f t="shared" si="56"/>
        <v>#N/A</v>
      </c>
      <c r="CB52" s="4" t="e">
        <f t="shared" si="57"/>
        <v>#N/A</v>
      </c>
      <c r="CC52" s="4" t="e">
        <f t="shared" si="58"/>
        <v>#N/A</v>
      </c>
      <c r="CD52" s="4" t="e">
        <f t="shared" si="59"/>
        <v>#N/A</v>
      </c>
      <c r="CG52" s="4">
        <v>44</v>
      </c>
      <c r="CH52" s="4" t="e">
        <f t="shared" si="88"/>
        <v>#N/A</v>
      </c>
      <c r="CI52" s="4" t="e">
        <f t="shared" si="89"/>
        <v>#N/A</v>
      </c>
      <c r="CJ52" s="4" t="e">
        <f t="shared" si="90"/>
        <v>#N/A</v>
      </c>
      <c r="CL52">
        <f t="shared" si="67"/>
        <v>0</v>
      </c>
      <c r="CM52">
        <f t="shared" si="68"/>
        <v>0</v>
      </c>
    </row>
    <row r="53" spans="2:91" ht="15.75" thickBot="1" x14ac:dyDescent="0.3">
      <c r="B53">
        <f t="shared" si="61"/>
        <v>0</v>
      </c>
      <c r="C53" s="16">
        <v>45</v>
      </c>
      <c r="D53" s="146" t="str">
        <f>IF('Front sheet'!$F26="","",'Front sheet'!$F26)</f>
        <v/>
      </c>
      <c r="E53" s="148" t="e">
        <f>IF('Front sheet'!H26="",NA(),'Front sheet'!H26)</f>
        <v>#N/A</v>
      </c>
      <c r="F53" s="196" t="e">
        <f>IF('Front sheet'!H26="",NA(),'Front sheet'!G26/'Front sheet'!H26)</f>
        <v>#N/A</v>
      </c>
      <c r="G53" s="205">
        <f t="shared" ca="1" si="69"/>
        <v>0.87525423728813556</v>
      </c>
      <c r="H53" s="201" t="e">
        <f t="shared" ca="1" si="33"/>
        <v>#N/A</v>
      </c>
      <c r="I53" s="157" t="e">
        <f t="shared" ca="1" si="34"/>
        <v>#N/A</v>
      </c>
      <c r="J53" s="151" t="e">
        <f>IF('Front sheet'!H26="",NA(),'Front sheet'!G26)</f>
        <v>#N/A</v>
      </c>
      <c r="K53" s="10" t="str">
        <f t="shared" si="70"/>
        <v/>
      </c>
      <c r="L53" s="9" t="e">
        <f t="shared" ca="1" si="71"/>
        <v>#N/A</v>
      </c>
      <c r="M53" s="8" t="e">
        <f t="shared" ca="1" si="72"/>
        <v>#N/A</v>
      </c>
      <c r="N53" t="e">
        <f t="shared" ca="1" si="73"/>
        <v>#N/A</v>
      </c>
      <c r="O53" s="8" t="e">
        <f t="shared" ca="1" si="60"/>
        <v>#N/A</v>
      </c>
      <c r="P53" t="e">
        <f t="shared" ca="1" si="74"/>
        <v>#N/A</v>
      </c>
      <c r="Q53" s="8">
        <f>IF(ISERROR($F53),0,IF($F53&gt;$H53,MAX($Q$8:Q52)+1,0))</f>
        <v>0</v>
      </c>
      <c r="R53" s="8">
        <f>IF(ISERROR($F53),0,IF($F53&lt;$I53,MAX($R$8:R52)+1,0))</f>
        <v>0</v>
      </c>
      <c r="T53" s="8">
        <f t="shared" si="75"/>
        <v>0</v>
      </c>
      <c r="U53" s="8">
        <f t="shared" ca="1" si="37"/>
        <v>0</v>
      </c>
      <c r="W53" s="8">
        <f t="shared" si="76"/>
        <v>0</v>
      </c>
      <c r="X53" s="8">
        <f t="shared" ca="1" si="38"/>
        <v>0</v>
      </c>
      <c r="Z53" s="8">
        <f t="shared" si="77"/>
        <v>0</v>
      </c>
      <c r="AA53" s="8">
        <f t="shared" si="39"/>
        <v>0</v>
      </c>
      <c r="AC53" s="8">
        <f t="shared" si="78"/>
        <v>0</v>
      </c>
      <c r="AD53" s="8">
        <f t="shared" si="40"/>
        <v>0</v>
      </c>
      <c r="AF53" s="8">
        <f t="shared" si="41"/>
        <v>0</v>
      </c>
      <c r="AG53" s="8">
        <f t="shared" si="42"/>
        <v>0</v>
      </c>
      <c r="AH53" s="8">
        <f t="shared" si="43"/>
        <v>0</v>
      </c>
      <c r="AI53" s="8">
        <f t="shared" si="44"/>
        <v>0</v>
      </c>
      <c r="AK53" s="11" t="e">
        <f t="shared" si="12"/>
        <v>#N/A</v>
      </c>
      <c r="AL53" s="8"/>
      <c r="AN53" s="8"/>
      <c r="AO53" s="8"/>
      <c r="AP53" s="8" t="e">
        <f>IF(C53&lt;=$E$3,IF(OR('Front sheet'!$Q$3="",'Front sheet'!$Q$3=0),NA(),'Front sheet'!$Q$3),NA())</f>
        <v>#N/A</v>
      </c>
      <c r="AQ53" s="8" t="e">
        <f t="shared" ca="1" si="45"/>
        <v>#N/A</v>
      </c>
      <c r="AR53" s="8" t="e">
        <f t="shared" ca="1" si="46"/>
        <v>#N/A</v>
      </c>
      <c r="AS53" s="8" t="e">
        <f t="shared" ca="1" si="47"/>
        <v>#N/A</v>
      </c>
      <c r="AT53" s="8" t="e">
        <f t="shared" ca="1" si="48"/>
        <v>#N/A</v>
      </c>
      <c r="AU53" s="8" t="e">
        <f t="shared" si="49"/>
        <v>#N/A</v>
      </c>
      <c r="AV53" s="8" t="e">
        <f t="shared" ca="1" si="50"/>
        <v>#N/A</v>
      </c>
      <c r="AX53" s="7" t="str">
        <f t="shared" si="79"/>
        <v/>
      </c>
      <c r="AY53" s="2" t="str">
        <f t="shared" si="80"/>
        <v/>
      </c>
      <c r="BA53" s="2">
        <v>45</v>
      </c>
      <c r="BB53">
        <f t="shared" ca="1" si="81"/>
        <v>3</v>
      </c>
      <c r="BC53" s="14" t="str">
        <f t="shared" si="82"/>
        <v/>
      </c>
      <c r="BD53" s="5" t="e">
        <f t="shared" si="62"/>
        <v>#N/A</v>
      </c>
      <c r="BE53" s="5" t="e">
        <f t="shared" si="63"/>
        <v>#N/A</v>
      </c>
      <c r="BF53" s="5" t="e">
        <f t="shared" si="64"/>
        <v>#N/A</v>
      </c>
      <c r="BG53" s="5" t="e">
        <f t="shared" si="65"/>
        <v>#N/A</v>
      </c>
      <c r="BH53" s="5" t="e">
        <f t="shared" si="66"/>
        <v>#N/A</v>
      </c>
      <c r="BI53">
        <f t="shared" ca="1" si="83"/>
        <v>1</v>
      </c>
      <c r="BJ53" s="158" t="e">
        <f t="shared" si="84"/>
        <v>#N/A</v>
      </c>
      <c r="BK53" s="158" t="e">
        <f t="shared" si="85"/>
        <v>#N/A</v>
      </c>
      <c r="BL53" s="158" t="e">
        <f t="shared" si="86"/>
        <v>#N/A</v>
      </c>
      <c r="BM53" s="158" t="e">
        <f t="shared" si="87"/>
        <v>#N/A</v>
      </c>
      <c r="BN53" s="19"/>
      <c r="BQ53" s="4">
        <v>45</v>
      </c>
      <c r="BR53" s="4" t="e">
        <f t="shared" si="51"/>
        <v>#N/A</v>
      </c>
      <c r="BS53" s="4" t="e">
        <f t="shared" si="52"/>
        <v>#N/A</v>
      </c>
      <c r="BT53" s="4" t="e">
        <f t="shared" si="53"/>
        <v>#N/A</v>
      </c>
      <c r="BV53" s="4">
        <v>45</v>
      </c>
      <c r="BW53" s="4" t="e">
        <f t="shared" si="54"/>
        <v>#N/A</v>
      </c>
      <c r="BX53" s="4" t="e">
        <f t="shared" si="55"/>
        <v>#N/A</v>
      </c>
      <c r="BZ53" s="4">
        <v>45</v>
      </c>
      <c r="CA53" s="4" t="e">
        <f t="shared" si="56"/>
        <v>#N/A</v>
      </c>
      <c r="CB53" s="4" t="e">
        <f t="shared" si="57"/>
        <v>#N/A</v>
      </c>
      <c r="CC53" s="4" t="e">
        <f t="shared" si="58"/>
        <v>#N/A</v>
      </c>
      <c r="CD53" s="4" t="e">
        <f t="shared" si="59"/>
        <v>#N/A</v>
      </c>
      <c r="CG53" s="4">
        <v>45</v>
      </c>
      <c r="CH53" s="4" t="e">
        <f t="shared" si="88"/>
        <v>#N/A</v>
      </c>
      <c r="CI53" s="4" t="e">
        <f t="shared" si="89"/>
        <v>#N/A</v>
      </c>
      <c r="CJ53" s="4" t="e">
        <f t="shared" si="90"/>
        <v>#N/A</v>
      </c>
      <c r="CL53">
        <f t="shared" si="67"/>
        <v>0</v>
      </c>
      <c r="CM53">
        <f t="shared" si="68"/>
        <v>0</v>
      </c>
    </row>
    <row r="54" spans="2:91" ht="15.75" thickBot="1" x14ac:dyDescent="0.3">
      <c r="B54">
        <f t="shared" si="61"/>
        <v>0</v>
      </c>
      <c r="C54" s="16">
        <v>46</v>
      </c>
      <c r="D54" s="146" t="str">
        <f>IF('Front sheet'!$F27="","",'Front sheet'!$F27)</f>
        <v/>
      </c>
      <c r="E54" s="148" t="e">
        <f>IF('Front sheet'!H27="",NA(),'Front sheet'!H27)</f>
        <v>#N/A</v>
      </c>
      <c r="F54" s="196" t="e">
        <f>IF('Front sheet'!H27="",NA(),'Front sheet'!G27/'Front sheet'!H27)</f>
        <v>#N/A</v>
      </c>
      <c r="G54" s="205">
        <f t="shared" ca="1" si="69"/>
        <v>0.87525423728813556</v>
      </c>
      <c r="H54" s="201" t="e">
        <f t="shared" ca="1" si="33"/>
        <v>#N/A</v>
      </c>
      <c r="I54" s="157" t="e">
        <f t="shared" ca="1" si="34"/>
        <v>#N/A</v>
      </c>
      <c r="J54" s="151" t="e">
        <f>IF('Front sheet'!H27="",NA(),'Front sheet'!G27)</f>
        <v>#N/A</v>
      </c>
      <c r="K54" s="10" t="str">
        <f t="shared" si="70"/>
        <v/>
      </c>
      <c r="L54" s="9" t="e">
        <f t="shared" ca="1" si="71"/>
        <v>#N/A</v>
      </c>
      <c r="M54" s="8" t="e">
        <f t="shared" ca="1" si="72"/>
        <v>#N/A</v>
      </c>
      <c r="N54" t="e">
        <f t="shared" ca="1" si="73"/>
        <v>#N/A</v>
      </c>
      <c r="O54" s="8" t="e">
        <f t="shared" ca="1" si="60"/>
        <v>#N/A</v>
      </c>
      <c r="P54" t="e">
        <f t="shared" ca="1" si="74"/>
        <v>#N/A</v>
      </c>
      <c r="Q54" s="8">
        <f>IF(ISERROR($F54),0,IF($F54&gt;$H54,MAX($Q$8:Q53)+1,0))</f>
        <v>0</v>
      </c>
      <c r="R54" s="8">
        <f>IF(ISERROR($F54),0,IF($F54&lt;$I54,MAX($R$8:R53)+1,0))</f>
        <v>0</v>
      </c>
      <c r="T54" s="8">
        <f t="shared" si="75"/>
        <v>0</v>
      </c>
      <c r="U54" s="8">
        <f t="shared" ca="1" si="37"/>
        <v>0</v>
      </c>
      <c r="W54" s="8">
        <f t="shared" si="76"/>
        <v>0</v>
      </c>
      <c r="X54" s="8">
        <f t="shared" ca="1" si="38"/>
        <v>0</v>
      </c>
      <c r="Z54" s="8">
        <f t="shared" si="77"/>
        <v>0</v>
      </c>
      <c r="AA54" s="8">
        <f t="shared" si="39"/>
        <v>0</v>
      </c>
      <c r="AC54" s="8">
        <f t="shared" si="78"/>
        <v>0</v>
      </c>
      <c r="AD54" s="8">
        <f t="shared" si="40"/>
        <v>0</v>
      </c>
      <c r="AF54" s="8">
        <f t="shared" si="41"/>
        <v>0</v>
      </c>
      <c r="AG54" s="8">
        <f t="shared" si="42"/>
        <v>0</v>
      </c>
      <c r="AH54" s="8">
        <f t="shared" si="43"/>
        <v>0</v>
      </c>
      <c r="AI54" s="8">
        <f t="shared" si="44"/>
        <v>0</v>
      </c>
      <c r="AK54" s="11" t="e">
        <f t="shared" si="12"/>
        <v>#N/A</v>
      </c>
      <c r="AL54" s="8"/>
      <c r="AN54" s="8"/>
      <c r="AO54" s="8"/>
      <c r="AP54" s="8" t="e">
        <f>IF(C54&lt;=$E$3,IF(OR('Front sheet'!$Q$3="",'Front sheet'!$Q$3=0),NA(),'Front sheet'!$Q$3),NA())</f>
        <v>#N/A</v>
      </c>
      <c r="AQ54" s="8" t="e">
        <f t="shared" ca="1" si="45"/>
        <v>#N/A</v>
      </c>
      <c r="AR54" s="8" t="e">
        <f t="shared" ca="1" si="46"/>
        <v>#N/A</v>
      </c>
      <c r="AS54" s="8" t="e">
        <f t="shared" ca="1" si="47"/>
        <v>#N/A</v>
      </c>
      <c r="AT54" s="8" t="e">
        <f t="shared" ca="1" si="48"/>
        <v>#N/A</v>
      </c>
      <c r="AU54" s="8" t="e">
        <f t="shared" si="49"/>
        <v>#N/A</v>
      </c>
      <c r="AV54" s="8" t="e">
        <f t="shared" ca="1" si="50"/>
        <v>#N/A</v>
      </c>
      <c r="AX54" s="7" t="str">
        <f t="shared" si="79"/>
        <v/>
      </c>
      <c r="AY54" s="2" t="str">
        <f t="shared" si="80"/>
        <v/>
      </c>
      <c r="BA54" s="2">
        <v>46</v>
      </c>
      <c r="BB54">
        <f t="shared" ca="1" si="81"/>
        <v>3</v>
      </c>
      <c r="BC54" s="14" t="str">
        <f t="shared" si="82"/>
        <v/>
      </c>
      <c r="BD54" s="5" t="e">
        <f t="shared" si="62"/>
        <v>#N/A</v>
      </c>
      <c r="BE54" s="5" t="e">
        <f t="shared" si="63"/>
        <v>#N/A</v>
      </c>
      <c r="BF54" s="5" t="e">
        <f t="shared" si="64"/>
        <v>#N/A</v>
      </c>
      <c r="BG54" s="5" t="e">
        <f t="shared" si="65"/>
        <v>#N/A</v>
      </c>
      <c r="BH54" s="5" t="e">
        <f t="shared" si="66"/>
        <v>#N/A</v>
      </c>
      <c r="BI54">
        <f t="shared" ca="1" si="83"/>
        <v>1</v>
      </c>
      <c r="BJ54" s="158" t="e">
        <f t="shared" si="84"/>
        <v>#N/A</v>
      </c>
      <c r="BK54" s="158" t="e">
        <f t="shared" si="85"/>
        <v>#N/A</v>
      </c>
      <c r="BL54" s="158" t="e">
        <f t="shared" si="86"/>
        <v>#N/A</v>
      </c>
      <c r="BM54" s="158" t="e">
        <f t="shared" si="87"/>
        <v>#N/A</v>
      </c>
      <c r="BN54" s="19"/>
      <c r="BQ54" s="4">
        <v>46</v>
      </c>
      <c r="BR54" s="4" t="e">
        <f t="shared" si="51"/>
        <v>#N/A</v>
      </c>
      <c r="BS54" s="4" t="e">
        <f t="shared" si="52"/>
        <v>#N/A</v>
      </c>
      <c r="BT54" s="4" t="e">
        <f t="shared" si="53"/>
        <v>#N/A</v>
      </c>
      <c r="BV54" s="4">
        <v>46</v>
      </c>
      <c r="BW54" s="4" t="e">
        <f t="shared" si="54"/>
        <v>#N/A</v>
      </c>
      <c r="BX54" s="4" t="e">
        <f t="shared" si="55"/>
        <v>#N/A</v>
      </c>
      <c r="BZ54" s="4">
        <v>46</v>
      </c>
      <c r="CA54" s="4" t="e">
        <f t="shared" si="56"/>
        <v>#N/A</v>
      </c>
      <c r="CB54" s="4" t="e">
        <f t="shared" si="57"/>
        <v>#N/A</v>
      </c>
      <c r="CC54" s="4" t="e">
        <f t="shared" si="58"/>
        <v>#N/A</v>
      </c>
      <c r="CD54" s="4" t="e">
        <f t="shared" si="59"/>
        <v>#N/A</v>
      </c>
      <c r="CG54" s="4">
        <v>46</v>
      </c>
      <c r="CH54" s="4" t="e">
        <f t="shared" si="88"/>
        <v>#N/A</v>
      </c>
      <c r="CI54" s="4" t="e">
        <f t="shared" si="89"/>
        <v>#N/A</v>
      </c>
      <c r="CJ54" s="4" t="e">
        <f t="shared" si="90"/>
        <v>#N/A</v>
      </c>
      <c r="CL54">
        <f t="shared" si="67"/>
        <v>0</v>
      </c>
      <c r="CM54">
        <f t="shared" si="68"/>
        <v>0</v>
      </c>
    </row>
    <row r="55" spans="2:91" ht="15.75" thickBot="1" x14ac:dyDescent="0.3">
      <c r="B55">
        <f t="shared" si="61"/>
        <v>0</v>
      </c>
      <c r="C55" s="16">
        <v>47</v>
      </c>
      <c r="D55" s="146" t="str">
        <f>IF('Front sheet'!$F28="","",'Front sheet'!$F28)</f>
        <v/>
      </c>
      <c r="E55" s="148" t="e">
        <f>IF('Front sheet'!H28="",NA(),'Front sheet'!H28)</f>
        <v>#N/A</v>
      </c>
      <c r="F55" s="196" t="e">
        <f>IF('Front sheet'!H28="",NA(),'Front sheet'!G28/'Front sheet'!H28)</f>
        <v>#N/A</v>
      </c>
      <c r="G55" s="205">
        <f t="shared" ca="1" si="69"/>
        <v>0.87525423728813556</v>
      </c>
      <c r="H55" s="201" t="e">
        <f t="shared" ca="1" si="33"/>
        <v>#N/A</v>
      </c>
      <c r="I55" s="157" t="e">
        <f t="shared" ca="1" si="34"/>
        <v>#N/A</v>
      </c>
      <c r="J55" s="151" t="e">
        <f>IF('Front sheet'!H28="",NA(),'Front sheet'!G28)</f>
        <v>#N/A</v>
      </c>
      <c r="K55" s="10" t="str">
        <f t="shared" si="70"/>
        <v/>
      </c>
      <c r="L55" s="9" t="e">
        <f t="shared" ca="1" si="71"/>
        <v>#N/A</v>
      </c>
      <c r="M55" s="8" t="e">
        <f t="shared" ca="1" si="72"/>
        <v>#N/A</v>
      </c>
      <c r="N55" t="e">
        <f t="shared" ca="1" si="73"/>
        <v>#N/A</v>
      </c>
      <c r="O55" s="8" t="e">
        <f t="shared" ca="1" si="60"/>
        <v>#N/A</v>
      </c>
      <c r="P55" t="e">
        <f t="shared" ca="1" si="74"/>
        <v>#N/A</v>
      </c>
      <c r="Q55" s="8">
        <f>IF(ISERROR($F55),0,IF($F55&gt;$H55,MAX($Q$8:Q54)+1,0))</f>
        <v>0</v>
      </c>
      <c r="R55" s="8">
        <f>IF(ISERROR($F55),0,IF($F55&lt;$I55,MAX($R$8:R54)+1,0))</f>
        <v>0</v>
      </c>
      <c r="T55" s="8">
        <f t="shared" si="75"/>
        <v>0</v>
      </c>
      <c r="U55" s="8">
        <f t="shared" ca="1" si="37"/>
        <v>0</v>
      </c>
      <c r="W55" s="8">
        <f t="shared" si="76"/>
        <v>0</v>
      </c>
      <c r="X55" s="8">
        <f t="shared" ca="1" si="38"/>
        <v>0</v>
      </c>
      <c r="Z55" s="8">
        <f t="shared" si="77"/>
        <v>0</v>
      </c>
      <c r="AA55" s="8">
        <f t="shared" si="39"/>
        <v>0</v>
      </c>
      <c r="AC55" s="8">
        <f t="shared" si="78"/>
        <v>0</v>
      </c>
      <c r="AD55" s="8">
        <f t="shared" si="40"/>
        <v>0</v>
      </c>
      <c r="AF55" s="8">
        <f t="shared" si="41"/>
        <v>0</v>
      </c>
      <c r="AG55" s="8">
        <f t="shared" si="42"/>
        <v>0</v>
      </c>
      <c r="AH55" s="8">
        <f t="shared" si="43"/>
        <v>0</v>
      </c>
      <c r="AI55" s="8">
        <f t="shared" si="44"/>
        <v>0</v>
      </c>
      <c r="AK55" s="11" t="e">
        <f t="shared" si="12"/>
        <v>#N/A</v>
      </c>
      <c r="AL55" s="8"/>
      <c r="AN55" s="8"/>
      <c r="AO55" s="8"/>
      <c r="AP55" s="8" t="e">
        <f>IF(C55&lt;=$E$3,IF(OR('Front sheet'!$Q$3="",'Front sheet'!$Q$3=0),NA(),'Front sheet'!$Q$3),NA())</f>
        <v>#N/A</v>
      </c>
      <c r="AQ55" s="8" t="e">
        <f t="shared" ca="1" si="45"/>
        <v>#N/A</v>
      </c>
      <c r="AR55" s="8" t="e">
        <f t="shared" ca="1" si="46"/>
        <v>#N/A</v>
      </c>
      <c r="AS55" s="8" t="e">
        <f t="shared" ca="1" si="47"/>
        <v>#N/A</v>
      </c>
      <c r="AT55" s="8" t="e">
        <f t="shared" ca="1" si="48"/>
        <v>#N/A</v>
      </c>
      <c r="AU55" s="8" t="e">
        <f t="shared" si="49"/>
        <v>#N/A</v>
      </c>
      <c r="AV55" s="8" t="e">
        <f t="shared" ca="1" si="50"/>
        <v>#N/A</v>
      </c>
      <c r="AX55" s="7" t="str">
        <f t="shared" si="79"/>
        <v/>
      </c>
      <c r="AY55" s="2" t="str">
        <f t="shared" si="80"/>
        <v/>
      </c>
      <c r="BA55" s="2">
        <v>47</v>
      </c>
      <c r="BB55">
        <f t="shared" ca="1" si="81"/>
        <v>3</v>
      </c>
      <c r="BC55" s="14" t="str">
        <f t="shared" si="82"/>
        <v/>
      </c>
      <c r="BD55" s="5" t="e">
        <f t="shared" si="62"/>
        <v>#N/A</v>
      </c>
      <c r="BE55" s="5" t="e">
        <f t="shared" si="63"/>
        <v>#N/A</v>
      </c>
      <c r="BF55" s="5" t="e">
        <f t="shared" si="64"/>
        <v>#N/A</v>
      </c>
      <c r="BG55" s="5" t="e">
        <f t="shared" si="65"/>
        <v>#N/A</v>
      </c>
      <c r="BH55" s="5" t="e">
        <f t="shared" si="66"/>
        <v>#N/A</v>
      </c>
      <c r="BI55">
        <f t="shared" ca="1" si="83"/>
        <v>1</v>
      </c>
      <c r="BJ55" s="158" t="e">
        <f t="shared" si="84"/>
        <v>#N/A</v>
      </c>
      <c r="BK55" s="158" t="e">
        <f t="shared" si="85"/>
        <v>#N/A</v>
      </c>
      <c r="BL55" s="158" t="e">
        <f t="shared" si="86"/>
        <v>#N/A</v>
      </c>
      <c r="BM55" s="158" t="e">
        <f t="shared" si="87"/>
        <v>#N/A</v>
      </c>
      <c r="BN55" s="19"/>
      <c r="BQ55" s="4">
        <v>47</v>
      </c>
      <c r="BR55" s="4" t="e">
        <f t="shared" si="51"/>
        <v>#N/A</v>
      </c>
      <c r="BS55" s="4" t="e">
        <f t="shared" si="52"/>
        <v>#N/A</v>
      </c>
      <c r="BT55" s="4" t="e">
        <f t="shared" si="53"/>
        <v>#N/A</v>
      </c>
      <c r="BV55" s="4">
        <v>47</v>
      </c>
      <c r="BW55" s="4" t="e">
        <f t="shared" si="54"/>
        <v>#N/A</v>
      </c>
      <c r="BX55" s="4" t="e">
        <f t="shared" si="55"/>
        <v>#N/A</v>
      </c>
      <c r="BZ55" s="4">
        <v>47</v>
      </c>
      <c r="CA55" s="4" t="e">
        <f t="shared" si="56"/>
        <v>#N/A</v>
      </c>
      <c r="CB55" s="4" t="e">
        <f t="shared" si="57"/>
        <v>#N/A</v>
      </c>
      <c r="CC55" s="4" t="e">
        <f t="shared" si="58"/>
        <v>#N/A</v>
      </c>
      <c r="CD55" s="4" t="e">
        <f t="shared" si="59"/>
        <v>#N/A</v>
      </c>
      <c r="CG55" s="4">
        <v>47</v>
      </c>
      <c r="CH55" s="4" t="e">
        <f t="shared" si="88"/>
        <v>#N/A</v>
      </c>
      <c r="CI55" s="4" t="e">
        <f t="shared" si="89"/>
        <v>#N/A</v>
      </c>
      <c r="CJ55" s="4" t="e">
        <f t="shared" si="90"/>
        <v>#N/A</v>
      </c>
      <c r="CL55">
        <f t="shared" si="67"/>
        <v>0</v>
      </c>
      <c r="CM55">
        <f t="shared" si="68"/>
        <v>0</v>
      </c>
    </row>
    <row r="56" spans="2:91" ht="15.75" thickBot="1" x14ac:dyDescent="0.3">
      <c r="B56">
        <f t="shared" si="61"/>
        <v>0</v>
      </c>
      <c r="C56" s="16">
        <v>48</v>
      </c>
      <c r="D56" s="146" t="str">
        <f>IF('Front sheet'!$F29="","",'Front sheet'!$F29)</f>
        <v/>
      </c>
      <c r="E56" s="148" t="e">
        <f>IF('Front sheet'!H29="",NA(),'Front sheet'!H29)</f>
        <v>#N/A</v>
      </c>
      <c r="F56" s="196" t="e">
        <f>IF('Front sheet'!H29="",NA(),'Front sheet'!G29/'Front sheet'!H29)</f>
        <v>#N/A</v>
      </c>
      <c r="G56" s="205">
        <f t="shared" ca="1" si="69"/>
        <v>0.87525423728813556</v>
      </c>
      <c r="H56" s="201" t="e">
        <f t="shared" ca="1" si="33"/>
        <v>#N/A</v>
      </c>
      <c r="I56" s="157" t="e">
        <f t="shared" ca="1" si="34"/>
        <v>#N/A</v>
      </c>
      <c r="J56" s="151" t="e">
        <f>IF('Front sheet'!H29="",NA(),'Front sheet'!G29)</f>
        <v>#N/A</v>
      </c>
      <c r="K56" s="10" t="str">
        <f t="shared" si="70"/>
        <v/>
      </c>
      <c r="L56" s="9" t="e">
        <f t="shared" ca="1" si="71"/>
        <v>#N/A</v>
      </c>
      <c r="M56" s="8" t="e">
        <f t="shared" ca="1" si="72"/>
        <v>#N/A</v>
      </c>
      <c r="N56" t="e">
        <f t="shared" ca="1" si="73"/>
        <v>#N/A</v>
      </c>
      <c r="O56" s="8" t="e">
        <f t="shared" ca="1" si="60"/>
        <v>#N/A</v>
      </c>
      <c r="P56" t="e">
        <f t="shared" ca="1" si="74"/>
        <v>#N/A</v>
      </c>
      <c r="Q56" s="8">
        <f>IF(ISERROR($F56),0,IF($F56&gt;$H56,MAX($Q$8:Q55)+1,0))</f>
        <v>0</v>
      </c>
      <c r="R56" s="8">
        <f>IF(ISERROR($F56),0,IF($F56&lt;$I56,MAX($R$8:R55)+1,0))</f>
        <v>0</v>
      </c>
      <c r="T56" s="8">
        <f t="shared" si="75"/>
        <v>0</v>
      </c>
      <c r="U56" s="8">
        <f t="shared" ca="1" si="37"/>
        <v>0</v>
      </c>
      <c r="W56" s="8">
        <f t="shared" si="76"/>
        <v>0</v>
      </c>
      <c r="X56" s="8">
        <f t="shared" ca="1" si="38"/>
        <v>0</v>
      </c>
      <c r="Z56" s="8">
        <f t="shared" si="77"/>
        <v>0</v>
      </c>
      <c r="AA56" s="8">
        <f t="shared" si="39"/>
        <v>0</v>
      </c>
      <c r="AC56" s="8">
        <f t="shared" si="78"/>
        <v>0</v>
      </c>
      <c r="AD56" s="8">
        <f t="shared" si="40"/>
        <v>0</v>
      </c>
      <c r="AF56" s="8">
        <f t="shared" si="41"/>
        <v>0</v>
      </c>
      <c r="AG56" s="8">
        <f t="shared" si="42"/>
        <v>0</v>
      </c>
      <c r="AH56" s="8">
        <f t="shared" si="43"/>
        <v>0</v>
      </c>
      <c r="AI56" s="8">
        <f t="shared" si="44"/>
        <v>0</v>
      </c>
      <c r="AK56" s="11" t="e">
        <f t="shared" si="12"/>
        <v>#N/A</v>
      </c>
      <c r="AL56" s="8"/>
      <c r="AN56" s="8"/>
      <c r="AO56" s="8"/>
      <c r="AP56" s="8" t="e">
        <f>IF(C56&lt;=$E$3,IF(OR('Front sheet'!$Q$3="",'Front sheet'!$Q$3=0),NA(),'Front sheet'!$Q$3),NA())</f>
        <v>#N/A</v>
      </c>
      <c r="AQ56" s="8" t="e">
        <f t="shared" ca="1" si="45"/>
        <v>#N/A</v>
      </c>
      <c r="AR56" s="8" t="e">
        <f t="shared" ca="1" si="46"/>
        <v>#N/A</v>
      </c>
      <c r="AS56" s="8" t="e">
        <f t="shared" ca="1" si="47"/>
        <v>#N/A</v>
      </c>
      <c r="AT56" s="8" t="e">
        <f t="shared" ca="1" si="48"/>
        <v>#N/A</v>
      </c>
      <c r="AU56" s="8" t="e">
        <f t="shared" si="49"/>
        <v>#N/A</v>
      </c>
      <c r="AV56" s="8" t="e">
        <f t="shared" ca="1" si="50"/>
        <v>#N/A</v>
      </c>
      <c r="AX56" s="7" t="str">
        <f t="shared" si="79"/>
        <v/>
      </c>
      <c r="AY56" s="2" t="str">
        <f t="shared" si="80"/>
        <v/>
      </c>
      <c r="BA56" s="2">
        <v>48</v>
      </c>
      <c r="BB56">
        <f t="shared" ca="1" si="81"/>
        <v>3</v>
      </c>
      <c r="BC56" s="14" t="str">
        <f t="shared" si="82"/>
        <v/>
      </c>
      <c r="BD56" s="5" t="e">
        <f t="shared" si="62"/>
        <v>#N/A</v>
      </c>
      <c r="BE56" s="5" t="e">
        <f t="shared" si="63"/>
        <v>#N/A</v>
      </c>
      <c r="BF56" s="5" t="e">
        <f t="shared" si="64"/>
        <v>#N/A</v>
      </c>
      <c r="BG56" s="5" t="e">
        <f t="shared" si="65"/>
        <v>#N/A</v>
      </c>
      <c r="BH56" s="5" t="e">
        <f t="shared" si="66"/>
        <v>#N/A</v>
      </c>
      <c r="BI56">
        <f t="shared" ca="1" si="83"/>
        <v>1</v>
      </c>
      <c r="BJ56" s="158" t="e">
        <f t="shared" si="84"/>
        <v>#N/A</v>
      </c>
      <c r="BK56" s="158" t="e">
        <f t="shared" si="85"/>
        <v>#N/A</v>
      </c>
      <c r="BL56" s="158" t="e">
        <f t="shared" si="86"/>
        <v>#N/A</v>
      </c>
      <c r="BM56" s="158" t="e">
        <f t="shared" si="87"/>
        <v>#N/A</v>
      </c>
      <c r="BN56" s="19"/>
      <c r="BQ56" s="4">
        <v>48</v>
      </c>
      <c r="BR56" s="4" t="e">
        <f t="shared" si="51"/>
        <v>#N/A</v>
      </c>
      <c r="BS56" s="4" t="e">
        <f t="shared" si="52"/>
        <v>#N/A</v>
      </c>
      <c r="BT56" s="4" t="e">
        <f t="shared" si="53"/>
        <v>#N/A</v>
      </c>
      <c r="BV56" s="4">
        <v>48</v>
      </c>
      <c r="BW56" s="4" t="e">
        <f t="shared" si="54"/>
        <v>#N/A</v>
      </c>
      <c r="BX56" s="4" t="e">
        <f t="shared" si="55"/>
        <v>#N/A</v>
      </c>
      <c r="BZ56" s="4">
        <v>48</v>
      </c>
      <c r="CA56" s="4" t="e">
        <f t="shared" si="56"/>
        <v>#N/A</v>
      </c>
      <c r="CB56" s="4" t="e">
        <f t="shared" si="57"/>
        <v>#N/A</v>
      </c>
      <c r="CC56" s="4" t="e">
        <f t="shared" si="58"/>
        <v>#N/A</v>
      </c>
      <c r="CD56" s="4" t="e">
        <f t="shared" si="59"/>
        <v>#N/A</v>
      </c>
      <c r="CG56" s="4">
        <v>48</v>
      </c>
      <c r="CH56" s="4" t="e">
        <f t="shared" si="88"/>
        <v>#N/A</v>
      </c>
      <c r="CI56" s="4" t="e">
        <f t="shared" si="89"/>
        <v>#N/A</v>
      </c>
      <c r="CJ56" s="4" t="e">
        <f t="shared" si="90"/>
        <v>#N/A</v>
      </c>
      <c r="CL56">
        <f t="shared" si="67"/>
        <v>0</v>
      </c>
      <c r="CM56">
        <f t="shared" si="68"/>
        <v>0</v>
      </c>
    </row>
    <row r="57" spans="2:91" ht="15.75" thickBot="1" x14ac:dyDescent="0.3">
      <c r="B57">
        <f t="shared" si="61"/>
        <v>0</v>
      </c>
      <c r="C57" s="13">
        <v>49</v>
      </c>
      <c r="D57" s="147" t="str">
        <f>IF('Front sheet'!$F30="","",'Front sheet'!$F30)</f>
        <v/>
      </c>
      <c r="E57" s="152" t="e">
        <f>IF('Front sheet'!H30="",NA(),'Front sheet'!H30)</f>
        <v>#N/A</v>
      </c>
      <c r="F57" s="197" t="e">
        <f>IF('Front sheet'!H30="",NA(),'Front sheet'!G30/'Front sheet'!H30)</f>
        <v>#N/A</v>
      </c>
      <c r="G57" s="207">
        <f t="shared" ca="1" si="69"/>
        <v>0.87525423728813556</v>
      </c>
      <c r="H57" s="202" t="e">
        <f t="shared" ca="1" si="33"/>
        <v>#N/A</v>
      </c>
      <c r="I57" s="193" t="e">
        <f t="shared" ca="1" si="34"/>
        <v>#N/A</v>
      </c>
      <c r="J57" s="153" t="e">
        <f>IF('Front sheet'!H30="",NA(),'Front sheet'!G30)</f>
        <v>#N/A</v>
      </c>
      <c r="K57" s="10" t="str">
        <f t="shared" si="70"/>
        <v/>
      </c>
      <c r="L57" s="9" t="e">
        <f t="shared" ca="1" si="71"/>
        <v>#N/A</v>
      </c>
      <c r="M57" s="8" t="e">
        <f t="shared" ca="1" si="72"/>
        <v>#N/A</v>
      </c>
      <c r="N57" t="e">
        <f t="shared" ca="1" si="73"/>
        <v>#N/A</v>
      </c>
      <c r="O57" s="8" t="e">
        <f t="shared" ca="1" si="60"/>
        <v>#N/A</v>
      </c>
      <c r="P57" t="e">
        <f t="shared" ca="1" si="74"/>
        <v>#N/A</v>
      </c>
      <c r="Q57" s="8">
        <f>IF(ISERROR($F57),0,IF($F57&gt;$H57,MAX($Q$8:Q56)+1,0))</f>
        <v>0</v>
      </c>
      <c r="R57" s="8">
        <f>IF(ISERROR($F57),0,IF($F57&lt;$I57,MAX($R$8:R56)+1,0))</f>
        <v>0</v>
      </c>
      <c r="T57" s="8">
        <f t="shared" si="75"/>
        <v>0</v>
      </c>
      <c r="U57" s="8">
        <f t="shared" ca="1" si="37"/>
        <v>0</v>
      </c>
      <c r="W57" s="8">
        <f t="shared" si="76"/>
        <v>0</v>
      </c>
      <c r="X57" s="8">
        <f t="shared" ca="1" si="38"/>
        <v>0</v>
      </c>
      <c r="Z57" s="8">
        <f t="shared" si="77"/>
        <v>0</v>
      </c>
      <c r="AA57" s="8">
        <f t="shared" si="39"/>
        <v>0</v>
      </c>
      <c r="AC57" s="8">
        <f t="shared" si="78"/>
        <v>0</v>
      </c>
      <c r="AD57" s="8">
        <f t="shared" si="40"/>
        <v>0</v>
      </c>
      <c r="AF57" s="8">
        <f t="shared" si="41"/>
        <v>0</v>
      </c>
      <c r="AG57" s="8">
        <f t="shared" si="42"/>
        <v>0</v>
      </c>
      <c r="AH57" s="8">
        <f t="shared" si="43"/>
        <v>0</v>
      </c>
      <c r="AI57" s="8">
        <f t="shared" si="44"/>
        <v>0</v>
      </c>
      <c r="AK57" s="11" t="e">
        <f t="shared" si="12"/>
        <v>#N/A</v>
      </c>
      <c r="AL57" s="8"/>
      <c r="AN57" s="8"/>
      <c r="AO57" s="8"/>
      <c r="AP57" s="8" t="e">
        <f>IF(C57&lt;=$E$3,IF(OR('Front sheet'!$Q$3="",'Front sheet'!$Q$3=0),NA(),'Front sheet'!$Q$3),NA())</f>
        <v>#N/A</v>
      </c>
      <c r="AQ57" s="8" t="e">
        <f t="shared" ca="1" si="45"/>
        <v>#N/A</v>
      </c>
      <c r="AR57" s="8" t="e">
        <f t="shared" ca="1" si="46"/>
        <v>#N/A</v>
      </c>
      <c r="AS57" s="8" t="e">
        <f t="shared" ca="1" si="47"/>
        <v>#N/A</v>
      </c>
      <c r="AT57" s="8" t="e">
        <f t="shared" ca="1" si="48"/>
        <v>#N/A</v>
      </c>
      <c r="AU57" s="8" t="e">
        <f t="shared" si="49"/>
        <v>#N/A</v>
      </c>
      <c r="AV57" s="8" t="e">
        <f t="shared" ca="1" si="50"/>
        <v>#N/A</v>
      </c>
      <c r="AX57" s="7" t="str">
        <f t="shared" si="79"/>
        <v/>
      </c>
      <c r="AY57" s="2" t="str">
        <f t="shared" si="80"/>
        <v/>
      </c>
      <c r="BA57" s="2">
        <v>49</v>
      </c>
      <c r="BB57">
        <f t="shared" ca="1" si="81"/>
        <v>3</v>
      </c>
      <c r="BC57" s="14" t="str">
        <f t="shared" si="82"/>
        <v/>
      </c>
      <c r="BD57" s="5" t="e">
        <f t="shared" si="62"/>
        <v>#N/A</v>
      </c>
      <c r="BE57" s="5" t="e">
        <f t="shared" si="63"/>
        <v>#N/A</v>
      </c>
      <c r="BF57" s="5" t="e">
        <f t="shared" si="64"/>
        <v>#N/A</v>
      </c>
      <c r="BG57" s="5" t="e">
        <f t="shared" si="65"/>
        <v>#N/A</v>
      </c>
      <c r="BH57" s="5" t="e">
        <f t="shared" si="66"/>
        <v>#N/A</v>
      </c>
      <c r="BI57">
        <f t="shared" ca="1" si="83"/>
        <v>1</v>
      </c>
      <c r="BJ57" s="158" t="e">
        <f t="shared" si="84"/>
        <v>#N/A</v>
      </c>
      <c r="BK57" s="158" t="e">
        <f t="shared" si="85"/>
        <v>#N/A</v>
      </c>
      <c r="BL57" s="158" t="e">
        <f t="shared" si="86"/>
        <v>#N/A</v>
      </c>
      <c r="BM57" s="158" t="e">
        <f t="shared" si="87"/>
        <v>#N/A</v>
      </c>
      <c r="BN57" s="19"/>
      <c r="BQ57" s="4">
        <v>49</v>
      </c>
      <c r="BR57" s="4" t="e">
        <f t="shared" si="51"/>
        <v>#N/A</v>
      </c>
      <c r="BS57" s="4" t="e">
        <f t="shared" si="52"/>
        <v>#N/A</v>
      </c>
      <c r="BT57" s="4" t="e">
        <f t="shared" si="53"/>
        <v>#N/A</v>
      </c>
      <c r="BV57" s="4">
        <v>49</v>
      </c>
      <c r="BW57" s="4" t="e">
        <f t="shared" si="54"/>
        <v>#N/A</v>
      </c>
      <c r="BX57" s="4" t="e">
        <f t="shared" si="55"/>
        <v>#N/A</v>
      </c>
      <c r="BZ57" s="4">
        <v>49</v>
      </c>
      <c r="CA57" s="4" t="e">
        <f t="shared" si="56"/>
        <v>#N/A</v>
      </c>
      <c r="CB57" s="4" t="e">
        <f t="shared" si="57"/>
        <v>#N/A</v>
      </c>
      <c r="CC57" s="4" t="e">
        <f t="shared" si="58"/>
        <v>#N/A</v>
      </c>
      <c r="CD57" s="4" t="e">
        <f t="shared" si="59"/>
        <v>#N/A</v>
      </c>
      <c r="CG57" s="4">
        <v>49</v>
      </c>
      <c r="CH57" s="4" t="e">
        <f t="shared" si="88"/>
        <v>#N/A</v>
      </c>
      <c r="CI57" s="4" t="e">
        <f t="shared" si="89"/>
        <v>#N/A</v>
      </c>
      <c r="CJ57" s="4" t="e">
        <f t="shared" si="90"/>
        <v>#N/A</v>
      </c>
      <c r="CL57">
        <f t="shared" si="67"/>
        <v>0</v>
      </c>
      <c r="CM57">
        <f t="shared" si="68"/>
        <v>0</v>
      </c>
    </row>
    <row r="58" spans="2:91" ht="15.75" thickBot="1" x14ac:dyDescent="0.3">
      <c r="B58">
        <f t="shared" si="61"/>
        <v>0</v>
      </c>
      <c r="C58" s="18">
        <v>50</v>
      </c>
      <c r="D58" s="154" t="str">
        <f>IF('Front sheet'!$F31="","",'Front sheet'!$F31)</f>
        <v/>
      </c>
      <c r="E58" s="149" t="e">
        <f>IF('Front sheet'!H31="",NA(),'Front sheet'!H31)</f>
        <v>#N/A</v>
      </c>
      <c r="F58" s="198" t="e">
        <f>IF('Front sheet'!H31="",NA(),'Front sheet'!G31/'Front sheet'!H31)</f>
        <v>#N/A</v>
      </c>
      <c r="G58" s="205">
        <f t="shared" ca="1" si="69"/>
        <v>0.87525423728813556</v>
      </c>
      <c r="H58" s="203" t="e">
        <f t="shared" ca="1" si="33"/>
        <v>#N/A</v>
      </c>
      <c r="I58" s="183" t="e">
        <f t="shared" ca="1" si="34"/>
        <v>#N/A</v>
      </c>
      <c r="J58" s="184" t="e">
        <f>IF('Front sheet'!H31="",NA(),'Front sheet'!G31)</f>
        <v>#N/A</v>
      </c>
      <c r="K58" s="10" t="str">
        <f t="shared" si="70"/>
        <v/>
      </c>
      <c r="L58" s="9" t="e">
        <f t="shared" ca="1" si="71"/>
        <v>#N/A</v>
      </c>
      <c r="M58" s="8" t="e">
        <f t="shared" ca="1" si="72"/>
        <v>#N/A</v>
      </c>
      <c r="N58" t="e">
        <f t="shared" ca="1" si="73"/>
        <v>#N/A</v>
      </c>
      <c r="O58" s="8" t="e">
        <f t="shared" ca="1" si="60"/>
        <v>#N/A</v>
      </c>
      <c r="P58" t="e">
        <f t="shared" ca="1" si="74"/>
        <v>#N/A</v>
      </c>
      <c r="Q58" s="8">
        <f>IF(ISERROR($F58),0,IF($F58&gt;$H58,MAX($Q$8:Q57)+1,0))</f>
        <v>0</v>
      </c>
      <c r="R58" s="8">
        <f>IF(ISERROR($F58),0,IF($F58&lt;$I58,MAX($R$8:R57)+1,0))</f>
        <v>0</v>
      </c>
      <c r="T58" s="8">
        <f t="shared" si="75"/>
        <v>0</v>
      </c>
      <c r="U58" s="8">
        <f t="shared" ca="1" si="37"/>
        <v>0</v>
      </c>
      <c r="W58" s="8">
        <f t="shared" si="76"/>
        <v>0</v>
      </c>
      <c r="X58" s="8">
        <f t="shared" ca="1" si="38"/>
        <v>0</v>
      </c>
      <c r="Z58" s="8">
        <f t="shared" si="77"/>
        <v>0</v>
      </c>
      <c r="AA58" s="8">
        <f t="shared" si="39"/>
        <v>0</v>
      </c>
      <c r="AC58" s="8">
        <f t="shared" si="78"/>
        <v>0</v>
      </c>
      <c r="AD58" s="8">
        <f t="shared" si="40"/>
        <v>0</v>
      </c>
      <c r="AF58" s="8">
        <f t="shared" si="41"/>
        <v>0</v>
      </c>
      <c r="AG58" s="8">
        <f t="shared" si="42"/>
        <v>0</v>
      </c>
      <c r="AH58" s="8">
        <f t="shared" si="43"/>
        <v>0</v>
      </c>
      <c r="AI58" s="8">
        <f t="shared" si="44"/>
        <v>0</v>
      </c>
      <c r="AK58" s="11" t="e">
        <f t="shared" si="12"/>
        <v>#N/A</v>
      </c>
      <c r="AL58" s="8"/>
      <c r="AN58" s="8"/>
      <c r="AO58" s="8"/>
      <c r="AP58" s="8" t="e">
        <f>IF(C58&lt;=$E$3,IF(OR('Front sheet'!$Q$3="",'Front sheet'!$Q$3=0),NA(),'Front sheet'!$Q$3),NA())</f>
        <v>#N/A</v>
      </c>
      <c r="AQ58" s="8" t="e">
        <f t="shared" ca="1" si="45"/>
        <v>#N/A</v>
      </c>
      <c r="AR58" s="8" t="e">
        <f t="shared" ca="1" si="46"/>
        <v>#N/A</v>
      </c>
      <c r="AS58" s="8" t="e">
        <f t="shared" ca="1" si="47"/>
        <v>#N/A</v>
      </c>
      <c r="AT58" s="8" t="e">
        <f t="shared" ca="1" si="48"/>
        <v>#N/A</v>
      </c>
      <c r="AU58" s="8" t="e">
        <f t="shared" si="49"/>
        <v>#N/A</v>
      </c>
      <c r="AV58" s="8" t="e">
        <f t="shared" ca="1" si="50"/>
        <v>#N/A</v>
      </c>
      <c r="AX58" s="7" t="str">
        <f t="shared" si="79"/>
        <v/>
      </c>
      <c r="AY58" s="2" t="str">
        <f t="shared" si="80"/>
        <v/>
      </c>
      <c r="BA58" s="2">
        <v>50</v>
      </c>
      <c r="BB58">
        <f t="shared" ca="1" si="81"/>
        <v>3</v>
      </c>
      <c r="BC58" s="14" t="str">
        <f t="shared" si="82"/>
        <v/>
      </c>
      <c r="BD58" s="5" t="e">
        <f t="shared" si="62"/>
        <v>#N/A</v>
      </c>
      <c r="BE58" s="5" t="e">
        <f t="shared" si="63"/>
        <v>#N/A</v>
      </c>
      <c r="BF58" s="5" t="e">
        <f t="shared" si="64"/>
        <v>#N/A</v>
      </c>
      <c r="BG58" s="5" t="e">
        <f t="shared" si="65"/>
        <v>#N/A</v>
      </c>
      <c r="BH58" s="5" t="e">
        <f t="shared" si="66"/>
        <v>#N/A</v>
      </c>
      <c r="BI58">
        <f t="shared" ca="1" si="83"/>
        <v>1</v>
      </c>
      <c r="BJ58" s="158" t="e">
        <f t="shared" si="84"/>
        <v>#N/A</v>
      </c>
      <c r="BK58" s="158" t="e">
        <f t="shared" si="85"/>
        <v>#N/A</v>
      </c>
      <c r="BL58" s="158" t="e">
        <f t="shared" si="86"/>
        <v>#N/A</v>
      </c>
      <c r="BM58" s="158" t="e">
        <f t="shared" si="87"/>
        <v>#N/A</v>
      </c>
      <c r="BN58" s="19"/>
      <c r="BQ58" s="4">
        <v>50</v>
      </c>
      <c r="BR58" s="4" t="e">
        <f t="shared" si="51"/>
        <v>#N/A</v>
      </c>
      <c r="BS58" s="4" t="e">
        <f t="shared" si="52"/>
        <v>#N/A</v>
      </c>
      <c r="BT58" s="4" t="e">
        <f t="shared" si="53"/>
        <v>#N/A</v>
      </c>
      <c r="BV58" s="4">
        <v>50</v>
      </c>
      <c r="BW58" s="4" t="e">
        <f t="shared" si="54"/>
        <v>#N/A</v>
      </c>
      <c r="BX58" s="4" t="e">
        <f t="shared" si="55"/>
        <v>#N/A</v>
      </c>
      <c r="BZ58" s="4">
        <v>50</v>
      </c>
      <c r="CA58" s="4" t="e">
        <f t="shared" si="56"/>
        <v>#N/A</v>
      </c>
      <c r="CB58" s="4" t="e">
        <f t="shared" si="57"/>
        <v>#N/A</v>
      </c>
      <c r="CC58" s="4" t="e">
        <f t="shared" si="58"/>
        <v>#N/A</v>
      </c>
      <c r="CD58" s="4" t="e">
        <f t="shared" si="59"/>
        <v>#N/A</v>
      </c>
      <c r="CG58" s="4">
        <v>50</v>
      </c>
      <c r="CH58" s="4" t="e">
        <f t="shared" si="88"/>
        <v>#N/A</v>
      </c>
      <c r="CI58" s="4" t="e">
        <f t="shared" si="89"/>
        <v>#N/A</v>
      </c>
      <c r="CJ58" s="4" t="e">
        <f t="shared" si="90"/>
        <v>#N/A</v>
      </c>
      <c r="CL58">
        <f t="shared" si="67"/>
        <v>0</v>
      </c>
      <c r="CM58">
        <f t="shared" si="68"/>
        <v>0</v>
      </c>
    </row>
    <row r="59" spans="2:91" ht="15.75" thickBot="1" x14ac:dyDescent="0.3">
      <c r="B59">
        <f t="shared" si="61"/>
        <v>0</v>
      </c>
      <c r="C59" s="16">
        <v>51</v>
      </c>
      <c r="D59" s="146" t="str">
        <f>IF('Front sheet'!$F32="","",'Front sheet'!$F32)</f>
        <v/>
      </c>
      <c r="E59" s="148" t="e">
        <f>IF('Front sheet'!H32="",NA(),'Front sheet'!H32)</f>
        <v>#N/A</v>
      </c>
      <c r="F59" s="196" t="e">
        <f>IF('Front sheet'!H32="",NA(),'Front sheet'!G32/'Front sheet'!H32)</f>
        <v>#N/A</v>
      </c>
      <c r="G59" s="205">
        <f t="shared" ca="1" si="69"/>
        <v>0.87525423728813556</v>
      </c>
      <c r="H59" s="201" t="e">
        <f t="shared" ca="1" si="33"/>
        <v>#N/A</v>
      </c>
      <c r="I59" s="157" t="e">
        <f t="shared" ca="1" si="34"/>
        <v>#N/A</v>
      </c>
      <c r="J59" s="151" t="e">
        <f>IF('Front sheet'!H32="",NA(),'Front sheet'!G32)</f>
        <v>#N/A</v>
      </c>
      <c r="K59" s="10" t="str">
        <f t="shared" si="70"/>
        <v/>
      </c>
      <c r="L59" s="9" t="e">
        <f t="shared" ca="1" si="71"/>
        <v>#N/A</v>
      </c>
      <c r="M59" s="8" t="e">
        <f t="shared" ca="1" si="72"/>
        <v>#N/A</v>
      </c>
      <c r="N59" t="e">
        <f t="shared" ca="1" si="73"/>
        <v>#N/A</v>
      </c>
      <c r="O59" s="8" t="e">
        <f t="shared" ca="1" si="60"/>
        <v>#N/A</v>
      </c>
      <c r="P59" t="e">
        <f t="shared" ca="1" si="74"/>
        <v>#N/A</v>
      </c>
      <c r="Q59" s="8">
        <f>IF(ISERROR($F59),0,IF($F59&gt;$H59,MAX($Q$8:Q58)+1,0))</f>
        <v>0</v>
      </c>
      <c r="R59" s="8">
        <f>IF(ISERROR($F59),0,IF($F59&lt;$I59,MAX($R$8:R58)+1,0))</f>
        <v>0</v>
      </c>
      <c r="T59" s="8">
        <f t="shared" si="75"/>
        <v>0</v>
      </c>
      <c r="U59" s="8">
        <f t="shared" ca="1" si="37"/>
        <v>0</v>
      </c>
      <c r="W59" s="8">
        <f t="shared" si="76"/>
        <v>0</v>
      </c>
      <c r="X59" s="8">
        <f t="shared" ca="1" si="38"/>
        <v>0</v>
      </c>
      <c r="Z59" s="8">
        <f t="shared" si="77"/>
        <v>0</v>
      </c>
      <c r="AA59" s="8">
        <f t="shared" si="39"/>
        <v>0</v>
      </c>
      <c r="AC59" s="8">
        <f t="shared" si="78"/>
        <v>0</v>
      </c>
      <c r="AD59" s="8">
        <f t="shared" si="40"/>
        <v>0</v>
      </c>
      <c r="AF59" s="8">
        <f t="shared" si="41"/>
        <v>0</v>
      </c>
      <c r="AG59" s="8">
        <f t="shared" si="42"/>
        <v>0</v>
      </c>
      <c r="AH59" s="8">
        <f t="shared" si="43"/>
        <v>0</v>
      </c>
      <c r="AI59" s="8">
        <f t="shared" si="44"/>
        <v>0</v>
      </c>
      <c r="AK59" s="11" t="e">
        <f t="shared" si="12"/>
        <v>#N/A</v>
      </c>
      <c r="AL59" s="8"/>
      <c r="AN59" s="8"/>
      <c r="AO59" s="8"/>
      <c r="AP59" s="8" t="e">
        <f>IF(C59&lt;=$E$3,IF(OR('Front sheet'!$Q$3="",'Front sheet'!$Q$3=0),NA(),'Front sheet'!$Q$3),NA())</f>
        <v>#N/A</v>
      </c>
      <c r="AQ59" s="8" t="e">
        <f t="shared" ca="1" si="45"/>
        <v>#N/A</v>
      </c>
      <c r="AR59" s="8" t="e">
        <f t="shared" ca="1" si="46"/>
        <v>#N/A</v>
      </c>
      <c r="AS59" s="8" t="e">
        <f t="shared" ca="1" si="47"/>
        <v>#N/A</v>
      </c>
      <c r="AT59" s="8" t="e">
        <f t="shared" ca="1" si="48"/>
        <v>#N/A</v>
      </c>
      <c r="AU59" s="8" t="e">
        <f t="shared" si="49"/>
        <v>#N/A</v>
      </c>
      <c r="AV59" s="8" t="e">
        <f t="shared" ca="1" si="50"/>
        <v>#N/A</v>
      </c>
      <c r="AX59" s="7" t="str">
        <f t="shared" si="79"/>
        <v/>
      </c>
      <c r="AY59" s="2" t="str">
        <f t="shared" si="80"/>
        <v/>
      </c>
      <c r="BA59" s="2">
        <v>51</v>
      </c>
      <c r="BB59">
        <f t="shared" ca="1" si="81"/>
        <v>3</v>
      </c>
      <c r="BC59" s="14" t="str">
        <f t="shared" si="82"/>
        <v/>
      </c>
      <c r="BD59" s="5" t="e">
        <f t="shared" si="62"/>
        <v>#N/A</v>
      </c>
      <c r="BE59" s="5" t="e">
        <f t="shared" si="63"/>
        <v>#N/A</v>
      </c>
      <c r="BF59" s="5" t="e">
        <f t="shared" si="64"/>
        <v>#N/A</v>
      </c>
      <c r="BG59" s="5" t="e">
        <f t="shared" si="65"/>
        <v>#N/A</v>
      </c>
      <c r="BH59" s="5" t="e">
        <f t="shared" si="66"/>
        <v>#N/A</v>
      </c>
      <c r="BI59">
        <f t="shared" ca="1" si="83"/>
        <v>1</v>
      </c>
      <c r="BJ59" s="158" t="e">
        <f t="shared" si="84"/>
        <v>#N/A</v>
      </c>
      <c r="BK59" s="158" t="e">
        <f t="shared" si="85"/>
        <v>#N/A</v>
      </c>
      <c r="BL59" s="158" t="e">
        <f t="shared" si="86"/>
        <v>#N/A</v>
      </c>
      <c r="BM59" s="158" t="e">
        <f t="shared" si="87"/>
        <v>#N/A</v>
      </c>
      <c r="BN59" s="19"/>
      <c r="BQ59" s="4">
        <v>51</v>
      </c>
      <c r="BR59" s="4" t="e">
        <f t="shared" si="51"/>
        <v>#N/A</v>
      </c>
      <c r="BS59" s="4" t="e">
        <f t="shared" si="52"/>
        <v>#N/A</v>
      </c>
      <c r="BT59" s="4" t="e">
        <f t="shared" si="53"/>
        <v>#N/A</v>
      </c>
      <c r="BV59" s="4">
        <v>51</v>
      </c>
      <c r="BW59" s="4" t="e">
        <f t="shared" si="54"/>
        <v>#N/A</v>
      </c>
      <c r="BX59" s="4" t="e">
        <f t="shared" si="55"/>
        <v>#N/A</v>
      </c>
      <c r="BZ59" s="4">
        <v>51</v>
      </c>
      <c r="CA59" s="4" t="e">
        <f t="shared" si="56"/>
        <v>#N/A</v>
      </c>
      <c r="CB59" s="4" t="e">
        <f t="shared" si="57"/>
        <v>#N/A</v>
      </c>
      <c r="CC59" s="4" t="e">
        <f t="shared" si="58"/>
        <v>#N/A</v>
      </c>
      <c r="CD59" s="4" t="e">
        <f t="shared" si="59"/>
        <v>#N/A</v>
      </c>
      <c r="CG59" s="4">
        <v>51</v>
      </c>
      <c r="CH59" s="4" t="e">
        <f t="shared" si="88"/>
        <v>#N/A</v>
      </c>
      <c r="CI59" s="4" t="e">
        <f t="shared" si="89"/>
        <v>#N/A</v>
      </c>
      <c r="CJ59" s="4" t="e">
        <f t="shared" si="90"/>
        <v>#N/A</v>
      </c>
      <c r="CL59">
        <f t="shared" si="67"/>
        <v>0</v>
      </c>
      <c r="CM59">
        <f t="shared" si="68"/>
        <v>0</v>
      </c>
    </row>
    <row r="60" spans="2:91" ht="15.75" thickBot="1" x14ac:dyDescent="0.3">
      <c r="B60">
        <f t="shared" si="61"/>
        <v>0</v>
      </c>
      <c r="C60" s="16">
        <v>52</v>
      </c>
      <c r="D60" s="146" t="str">
        <f>IF('Front sheet'!$F33="","",'Front sheet'!$F33)</f>
        <v/>
      </c>
      <c r="E60" s="148" t="e">
        <f>IF('Front sheet'!H33="",NA(),'Front sheet'!H33)</f>
        <v>#N/A</v>
      </c>
      <c r="F60" s="196" t="e">
        <f>IF('Front sheet'!H33="",NA(),'Front sheet'!G33/'Front sheet'!H33)</f>
        <v>#N/A</v>
      </c>
      <c r="G60" s="205">
        <f t="shared" ca="1" si="69"/>
        <v>0.87525423728813556</v>
      </c>
      <c r="H60" s="201" t="e">
        <f t="shared" ca="1" si="33"/>
        <v>#N/A</v>
      </c>
      <c r="I60" s="157" t="e">
        <f t="shared" ca="1" si="34"/>
        <v>#N/A</v>
      </c>
      <c r="J60" s="151" t="e">
        <f>IF('Front sheet'!H33="",NA(),'Front sheet'!G33)</f>
        <v>#N/A</v>
      </c>
      <c r="K60" s="10" t="str">
        <f t="shared" si="70"/>
        <v/>
      </c>
      <c r="L60" s="9" t="e">
        <f t="shared" ca="1" si="71"/>
        <v>#N/A</v>
      </c>
      <c r="M60" s="8" t="e">
        <f t="shared" ca="1" si="72"/>
        <v>#N/A</v>
      </c>
      <c r="N60" t="e">
        <f t="shared" ca="1" si="73"/>
        <v>#N/A</v>
      </c>
      <c r="O60" s="8" t="e">
        <f t="shared" ca="1" si="60"/>
        <v>#N/A</v>
      </c>
      <c r="P60" t="e">
        <f t="shared" ca="1" si="74"/>
        <v>#N/A</v>
      </c>
      <c r="Q60" s="8">
        <f>IF(ISERROR($F60),0,IF($F60&gt;$H60,MAX($Q$8:Q59)+1,0))</f>
        <v>0</v>
      </c>
      <c r="R60" s="8">
        <f>IF(ISERROR($F60),0,IF($F60&lt;$I60,MAX($R$8:R59)+1,0))</f>
        <v>0</v>
      </c>
      <c r="T60" s="8">
        <f t="shared" si="75"/>
        <v>0</v>
      </c>
      <c r="U60" s="8">
        <f t="shared" ca="1" si="37"/>
        <v>0</v>
      </c>
      <c r="W60" s="8">
        <f t="shared" si="76"/>
        <v>0</v>
      </c>
      <c r="X60" s="8">
        <f t="shared" ca="1" si="38"/>
        <v>0</v>
      </c>
      <c r="Z60" s="8">
        <f t="shared" si="77"/>
        <v>0</v>
      </c>
      <c r="AA60" s="8">
        <f t="shared" si="39"/>
        <v>0</v>
      </c>
      <c r="AC60" s="8">
        <f t="shared" si="78"/>
        <v>0</v>
      </c>
      <c r="AD60" s="8">
        <f t="shared" si="40"/>
        <v>0</v>
      </c>
      <c r="AF60" s="8">
        <f t="shared" si="41"/>
        <v>0</v>
      </c>
      <c r="AG60" s="8">
        <f t="shared" si="42"/>
        <v>0</v>
      </c>
      <c r="AH60" s="8">
        <f t="shared" si="43"/>
        <v>0</v>
      </c>
      <c r="AI60" s="8">
        <f t="shared" si="44"/>
        <v>0</v>
      </c>
      <c r="AK60" s="11" t="e">
        <f t="shared" si="12"/>
        <v>#N/A</v>
      </c>
      <c r="AL60" s="8"/>
      <c r="AN60" s="8"/>
      <c r="AO60" s="8"/>
      <c r="AP60" s="8" t="e">
        <f>IF(C60&lt;=$E$3,IF(OR('Front sheet'!$Q$3="",'Front sheet'!$Q$3=0),NA(),'Front sheet'!$Q$3),NA())</f>
        <v>#N/A</v>
      </c>
      <c r="AQ60" s="8" t="e">
        <f t="shared" ca="1" si="45"/>
        <v>#N/A</v>
      </c>
      <c r="AR60" s="8" t="e">
        <f t="shared" ca="1" si="46"/>
        <v>#N/A</v>
      </c>
      <c r="AS60" s="8" t="e">
        <f t="shared" ca="1" si="47"/>
        <v>#N/A</v>
      </c>
      <c r="AT60" s="8" t="e">
        <f t="shared" ca="1" si="48"/>
        <v>#N/A</v>
      </c>
      <c r="AU60" s="8" t="e">
        <f t="shared" si="49"/>
        <v>#N/A</v>
      </c>
      <c r="AV60" s="8" t="e">
        <f t="shared" ca="1" si="50"/>
        <v>#N/A</v>
      </c>
      <c r="AX60" s="7" t="str">
        <f t="shared" si="79"/>
        <v/>
      </c>
      <c r="AY60" s="2" t="str">
        <f t="shared" si="80"/>
        <v/>
      </c>
      <c r="BA60" s="2">
        <v>52</v>
      </c>
      <c r="BB60">
        <f t="shared" ca="1" si="81"/>
        <v>3</v>
      </c>
      <c r="BC60" s="14" t="str">
        <f t="shared" si="82"/>
        <v/>
      </c>
      <c r="BD60" s="5" t="e">
        <f t="shared" si="62"/>
        <v>#N/A</v>
      </c>
      <c r="BE60" s="5" t="e">
        <f t="shared" si="63"/>
        <v>#N/A</v>
      </c>
      <c r="BF60" s="5" t="e">
        <f t="shared" si="64"/>
        <v>#N/A</v>
      </c>
      <c r="BG60" s="5" t="e">
        <f t="shared" si="65"/>
        <v>#N/A</v>
      </c>
      <c r="BH60" s="5" t="e">
        <f t="shared" si="66"/>
        <v>#N/A</v>
      </c>
      <c r="BI60">
        <f t="shared" ca="1" si="83"/>
        <v>1</v>
      </c>
      <c r="BJ60" s="158" t="e">
        <f t="shared" si="84"/>
        <v>#N/A</v>
      </c>
      <c r="BK60" s="158" t="e">
        <f t="shared" si="85"/>
        <v>#N/A</v>
      </c>
      <c r="BL60" s="158" t="e">
        <f t="shared" si="86"/>
        <v>#N/A</v>
      </c>
      <c r="BM60" s="158" t="e">
        <f t="shared" si="87"/>
        <v>#N/A</v>
      </c>
      <c r="BN60" s="19"/>
      <c r="BQ60" s="4">
        <v>52</v>
      </c>
      <c r="BR60" s="4" t="e">
        <f t="shared" si="51"/>
        <v>#N/A</v>
      </c>
      <c r="BS60" s="4" t="e">
        <f t="shared" si="52"/>
        <v>#N/A</v>
      </c>
      <c r="BT60" s="4" t="e">
        <f t="shared" si="53"/>
        <v>#N/A</v>
      </c>
      <c r="BV60" s="4">
        <v>52</v>
      </c>
      <c r="BW60" s="4" t="e">
        <f t="shared" si="54"/>
        <v>#N/A</v>
      </c>
      <c r="BX60" s="4" t="e">
        <f t="shared" si="55"/>
        <v>#N/A</v>
      </c>
      <c r="BZ60" s="4">
        <v>52</v>
      </c>
      <c r="CA60" s="4" t="e">
        <f t="shared" si="56"/>
        <v>#N/A</v>
      </c>
      <c r="CB60" s="4" t="e">
        <f t="shared" si="57"/>
        <v>#N/A</v>
      </c>
      <c r="CC60" s="4" t="e">
        <f t="shared" si="58"/>
        <v>#N/A</v>
      </c>
      <c r="CD60" s="4" t="e">
        <f t="shared" si="59"/>
        <v>#N/A</v>
      </c>
      <c r="CG60" s="4">
        <v>52</v>
      </c>
      <c r="CH60" s="4" t="e">
        <f t="shared" si="88"/>
        <v>#N/A</v>
      </c>
      <c r="CI60" s="4" t="e">
        <f t="shared" si="89"/>
        <v>#N/A</v>
      </c>
      <c r="CJ60" s="4" t="e">
        <f t="shared" si="90"/>
        <v>#N/A</v>
      </c>
      <c r="CL60">
        <f t="shared" si="67"/>
        <v>0</v>
      </c>
      <c r="CM60">
        <f t="shared" si="68"/>
        <v>0</v>
      </c>
    </row>
    <row r="61" spans="2:91" ht="15.75" thickBot="1" x14ac:dyDescent="0.3">
      <c r="B61">
        <f t="shared" si="61"/>
        <v>0</v>
      </c>
      <c r="C61" s="16">
        <v>53</v>
      </c>
      <c r="D61" s="146" t="str">
        <f>IF('Front sheet'!$F34="","",'Front sheet'!$F34)</f>
        <v/>
      </c>
      <c r="E61" s="148" t="e">
        <f>IF('Front sheet'!H34="",NA(),'Front sheet'!H34)</f>
        <v>#N/A</v>
      </c>
      <c r="F61" s="196" t="e">
        <f>IF('Front sheet'!H34="",NA(),'Front sheet'!G34/'Front sheet'!H34)</f>
        <v>#N/A</v>
      </c>
      <c r="G61" s="205">
        <f t="shared" ca="1" si="69"/>
        <v>0.87525423728813556</v>
      </c>
      <c r="H61" s="201" t="e">
        <f t="shared" ca="1" si="33"/>
        <v>#N/A</v>
      </c>
      <c r="I61" s="157" t="e">
        <f t="shared" ca="1" si="34"/>
        <v>#N/A</v>
      </c>
      <c r="J61" s="151" t="e">
        <f>IF('Front sheet'!H34="",NA(),'Front sheet'!G34)</f>
        <v>#N/A</v>
      </c>
      <c r="K61" s="10" t="str">
        <f t="shared" si="70"/>
        <v/>
      </c>
      <c r="L61" s="9" t="e">
        <f t="shared" ca="1" si="71"/>
        <v>#N/A</v>
      </c>
      <c r="M61" s="8" t="e">
        <f t="shared" ca="1" si="72"/>
        <v>#N/A</v>
      </c>
      <c r="N61" t="e">
        <f t="shared" ca="1" si="73"/>
        <v>#N/A</v>
      </c>
      <c r="O61" s="8" t="e">
        <f t="shared" ca="1" si="60"/>
        <v>#N/A</v>
      </c>
      <c r="P61" t="e">
        <f t="shared" ca="1" si="74"/>
        <v>#N/A</v>
      </c>
      <c r="Q61" s="8">
        <f>IF(ISERROR($F61),0,IF($F61&gt;$H61,MAX($Q$8:Q60)+1,0))</f>
        <v>0</v>
      </c>
      <c r="R61" s="8">
        <f>IF(ISERROR($F61),0,IF($F61&lt;$I61,MAX($R$8:R60)+1,0))</f>
        <v>0</v>
      </c>
      <c r="T61" s="8">
        <f t="shared" si="75"/>
        <v>0</v>
      </c>
      <c r="U61" s="8">
        <f t="shared" ca="1" si="37"/>
        <v>0</v>
      </c>
      <c r="W61" s="8">
        <f t="shared" si="76"/>
        <v>0</v>
      </c>
      <c r="X61" s="8">
        <f t="shared" ca="1" si="38"/>
        <v>0</v>
      </c>
      <c r="Z61" s="8">
        <f t="shared" si="77"/>
        <v>0</v>
      </c>
      <c r="AA61" s="8">
        <f t="shared" si="39"/>
        <v>0</v>
      </c>
      <c r="AC61" s="8">
        <f t="shared" si="78"/>
        <v>0</v>
      </c>
      <c r="AD61" s="8">
        <f t="shared" si="40"/>
        <v>0</v>
      </c>
      <c r="AF61" s="8">
        <f t="shared" si="41"/>
        <v>0</v>
      </c>
      <c r="AG61" s="8">
        <f t="shared" si="42"/>
        <v>0</v>
      </c>
      <c r="AH61" s="8">
        <f t="shared" si="43"/>
        <v>0</v>
      </c>
      <c r="AI61" s="8">
        <f t="shared" si="44"/>
        <v>0</v>
      </c>
      <c r="AK61" s="11" t="e">
        <f t="shared" si="12"/>
        <v>#N/A</v>
      </c>
      <c r="AL61" s="8"/>
      <c r="AN61" s="8"/>
      <c r="AO61" s="8"/>
      <c r="AP61" s="8" t="e">
        <f>IF(C61&lt;=$E$3,IF(OR('Front sheet'!$Q$3="",'Front sheet'!$Q$3=0),NA(),'Front sheet'!$Q$3),NA())</f>
        <v>#N/A</v>
      </c>
      <c r="AQ61" s="8" t="e">
        <f t="shared" ca="1" si="45"/>
        <v>#N/A</v>
      </c>
      <c r="AR61" s="8" t="e">
        <f t="shared" ca="1" si="46"/>
        <v>#N/A</v>
      </c>
      <c r="AS61" s="8" t="e">
        <f t="shared" ca="1" si="47"/>
        <v>#N/A</v>
      </c>
      <c r="AT61" s="8" t="e">
        <f t="shared" ca="1" si="48"/>
        <v>#N/A</v>
      </c>
      <c r="AU61" s="8" t="e">
        <f t="shared" si="49"/>
        <v>#N/A</v>
      </c>
      <c r="AV61" s="8" t="e">
        <f t="shared" ca="1" si="50"/>
        <v>#N/A</v>
      </c>
      <c r="AX61" s="7" t="str">
        <f t="shared" si="79"/>
        <v/>
      </c>
      <c r="AY61" s="2" t="str">
        <f t="shared" si="80"/>
        <v/>
      </c>
      <c r="BA61" s="2">
        <v>53</v>
      </c>
      <c r="BB61">
        <f t="shared" ca="1" si="81"/>
        <v>3</v>
      </c>
      <c r="BC61" s="14" t="str">
        <f t="shared" si="82"/>
        <v/>
      </c>
      <c r="BD61" s="5" t="e">
        <f t="shared" si="62"/>
        <v>#N/A</v>
      </c>
      <c r="BE61" s="5" t="e">
        <f t="shared" si="63"/>
        <v>#N/A</v>
      </c>
      <c r="BF61" s="5" t="e">
        <f t="shared" si="64"/>
        <v>#N/A</v>
      </c>
      <c r="BG61" s="5" t="e">
        <f t="shared" si="65"/>
        <v>#N/A</v>
      </c>
      <c r="BH61" s="5" t="e">
        <f t="shared" si="66"/>
        <v>#N/A</v>
      </c>
      <c r="BI61">
        <f t="shared" ca="1" si="83"/>
        <v>1</v>
      </c>
      <c r="BJ61" s="158" t="e">
        <f t="shared" si="84"/>
        <v>#N/A</v>
      </c>
      <c r="BK61" s="158" t="e">
        <f t="shared" si="85"/>
        <v>#N/A</v>
      </c>
      <c r="BL61" s="158" t="e">
        <f t="shared" si="86"/>
        <v>#N/A</v>
      </c>
      <c r="BM61" s="158" t="e">
        <f t="shared" si="87"/>
        <v>#N/A</v>
      </c>
      <c r="BN61" s="19"/>
      <c r="BQ61" s="4">
        <v>53</v>
      </c>
      <c r="BR61" s="4" t="e">
        <f t="shared" si="51"/>
        <v>#N/A</v>
      </c>
      <c r="BS61" s="4" t="e">
        <f t="shared" si="52"/>
        <v>#N/A</v>
      </c>
      <c r="BT61" s="4" t="e">
        <f t="shared" si="53"/>
        <v>#N/A</v>
      </c>
      <c r="BV61" s="4">
        <v>53</v>
      </c>
      <c r="BW61" s="4" t="e">
        <f t="shared" si="54"/>
        <v>#N/A</v>
      </c>
      <c r="BX61" s="4" t="e">
        <f t="shared" si="55"/>
        <v>#N/A</v>
      </c>
      <c r="BZ61" s="4">
        <v>53</v>
      </c>
      <c r="CA61" s="4" t="e">
        <f t="shared" si="56"/>
        <v>#N/A</v>
      </c>
      <c r="CB61" s="4" t="e">
        <f t="shared" si="57"/>
        <v>#N/A</v>
      </c>
      <c r="CC61" s="4" t="e">
        <f t="shared" si="58"/>
        <v>#N/A</v>
      </c>
      <c r="CD61" s="4" t="e">
        <f t="shared" si="59"/>
        <v>#N/A</v>
      </c>
      <c r="CG61" s="4">
        <v>53</v>
      </c>
      <c r="CH61" s="4" t="e">
        <f t="shared" si="88"/>
        <v>#N/A</v>
      </c>
      <c r="CI61" s="4" t="e">
        <f t="shared" si="89"/>
        <v>#N/A</v>
      </c>
      <c r="CJ61" s="4" t="e">
        <f t="shared" si="90"/>
        <v>#N/A</v>
      </c>
      <c r="CL61">
        <f t="shared" si="67"/>
        <v>0</v>
      </c>
      <c r="CM61">
        <f t="shared" si="68"/>
        <v>0</v>
      </c>
    </row>
    <row r="62" spans="2:91" ht="15.75" thickBot="1" x14ac:dyDescent="0.3">
      <c r="B62">
        <f t="shared" si="61"/>
        <v>0</v>
      </c>
      <c r="C62" s="16">
        <v>54</v>
      </c>
      <c r="D62" s="146" t="str">
        <f>IF('Front sheet'!$F35="","",'Front sheet'!$F35)</f>
        <v/>
      </c>
      <c r="E62" s="148" t="e">
        <f>IF('Front sheet'!H35="",NA(),'Front sheet'!H35)</f>
        <v>#N/A</v>
      </c>
      <c r="F62" s="196" t="e">
        <f>IF('Front sheet'!H35="",NA(),'Front sheet'!G35/'Front sheet'!H35)</f>
        <v>#N/A</v>
      </c>
      <c r="G62" s="205">
        <f t="shared" ca="1" si="69"/>
        <v>0.87525423728813556</v>
      </c>
      <c r="H62" s="201" t="e">
        <f t="shared" ca="1" si="33"/>
        <v>#N/A</v>
      </c>
      <c r="I62" s="157" t="e">
        <f t="shared" ca="1" si="34"/>
        <v>#N/A</v>
      </c>
      <c r="J62" s="151" t="e">
        <f>IF('Front sheet'!H35="",NA(),'Front sheet'!G35)</f>
        <v>#N/A</v>
      </c>
      <c r="K62" s="10" t="str">
        <f t="shared" si="70"/>
        <v/>
      </c>
      <c r="L62" s="9" t="e">
        <f t="shared" ca="1" si="71"/>
        <v>#N/A</v>
      </c>
      <c r="M62" s="8" t="e">
        <f t="shared" ca="1" si="72"/>
        <v>#N/A</v>
      </c>
      <c r="N62" t="e">
        <f t="shared" ca="1" si="73"/>
        <v>#N/A</v>
      </c>
      <c r="O62" s="8" t="e">
        <f t="shared" ca="1" si="60"/>
        <v>#N/A</v>
      </c>
      <c r="P62" t="e">
        <f t="shared" ca="1" si="74"/>
        <v>#N/A</v>
      </c>
      <c r="Q62" s="8">
        <f>IF(ISERROR($F62),0,IF($F62&gt;$H62,MAX($Q$8:Q61)+1,0))</f>
        <v>0</v>
      </c>
      <c r="R62" s="8">
        <f>IF(ISERROR($F62),0,IF($F62&lt;$I62,MAX($R$8:R61)+1,0))</f>
        <v>0</v>
      </c>
      <c r="T62" s="8">
        <f t="shared" si="75"/>
        <v>0</v>
      </c>
      <c r="U62" s="8">
        <f t="shared" ca="1" si="37"/>
        <v>0</v>
      </c>
      <c r="W62" s="8">
        <f t="shared" si="76"/>
        <v>0</v>
      </c>
      <c r="X62" s="8">
        <f t="shared" ca="1" si="38"/>
        <v>0</v>
      </c>
      <c r="Z62" s="8">
        <f t="shared" si="77"/>
        <v>0</v>
      </c>
      <c r="AA62" s="8">
        <f t="shared" si="39"/>
        <v>0</v>
      </c>
      <c r="AC62" s="8">
        <f t="shared" si="78"/>
        <v>0</v>
      </c>
      <c r="AD62" s="8">
        <f t="shared" si="40"/>
        <v>0</v>
      </c>
      <c r="AF62" s="8">
        <f t="shared" si="41"/>
        <v>0</v>
      </c>
      <c r="AG62" s="8">
        <f t="shared" si="42"/>
        <v>0</v>
      </c>
      <c r="AH62" s="8">
        <f t="shared" si="43"/>
        <v>0</v>
      </c>
      <c r="AI62" s="8">
        <f t="shared" si="44"/>
        <v>0</v>
      </c>
      <c r="AK62" s="11" t="e">
        <f t="shared" si="12"/>
        <v>#N/A</v>
      </c>
      <c r="AL62" s="8"/>
      <c r="AN62" s="8"/>
      <c r="AO62" s="8"/>
      <c r="AP62" s="8" t="e">
        <f>IF(C62&lt;=$E$3,IF(OR('Front sheet'!$Q$3="",'Front sheet'!$Q$3=0),NA(),'Front sheet'!$Q$3),NA())</f>
        <v>#N/A</v>
      </c>
      <c r="AQ62" s="8" t="e">
        <f t="shared" ca="1" si="45"/>
        <v>#N/A</v>
      </c>
      <c r="AR62" s="8" t="e">
        <f t="shared" ca="1" si="46"/>
        <v>#N/A</v>
      </c>
      <c r="AS62" s="8" t="e">
        <f t="shared" ca="1" si="47"/>
        <v>#N/A</v>
      </c>
      <c r="AT62" s="8" t="e">
        <f t="shared" ca="1" si="48"/>
        <v>#N/A</v>
      </c>
      <c r="AU62" s="8" t="e">
        <f t="shared" si="49"/>
        <v>#N/A</v>
      </c>
      <c r="AV62" s="8" t="e">
        <f t="shared" ca="1" si="50"/>
        <v>#N/A</v>
      </c>
      <c r="AX62" s="7" t="str">
        <f t="shared" si="79"/>
        <v/>
      </c>
      <c r="AY62" s="2" t="str">
        <f t="shared" si="80"/>
        <v/>
      </c>
      <c r="BA62" s="2">
        <v>54</v>
      </c>
      <c r="BB62">
        <f t="shared" ca="1" si="81"/>
        <v>3</v>
      </c>
      <c r="BC62" s="14" t="str">
        <f t="shared" si="82"/>
        <v/>
      </c>
      <c r="BD62" s="5" t="e">
        <f t="shared" si="62"/>
        <v>#N/A</v>
      </c>
      <c r="BE62" s="5" t="e">
        <f t="shared" si="63"/>
        <v>#N/A</v>
      </c>
      <c r="BF62" s="5" t="e">
        <f t="shared" si="64"/>
        <v>#N/A</v>
      </c>
      <c r="BG62" s="5" t="e">
        <f t="shared" si="65"/>
        <v>#N/A</v>
      </c>
      <c r="BH62" s="5" t="e">
        <f t="shared" si="66"/>
        <v>#N/A</v>
      </c>
      <c r="BI62">
        <f t="shared" ca="1" si="83"/>
        <v>1</v>
      </c>
      <c r="BJ62" s="158" t="e">
        <f t="shared" si="84"/>
        <v>#N/A</v>
      </c>
      <c r="BK62" s="158" t="e">
        <f t="shared" si="85"/>
        <v>#N/A</v>
      </c>
      <c r="BL62" s="158" t="e">
        <f t="shared" si="86"/>
        <v>#N/A</v>
      </c>
      <c r="BM62" s="158" t="e">
        <f t="shared" si="87"/>
        <v>#N/A</v>
      </c>
      <c r="BN62" s="19"/>
      <c r="BQ62" s="4">
        <v>54</v>
      </c>
      <c r="BR62" s="4" t="e">
        <f t="shared" si="51"/>
        <v>#N/A</v>
      </c>
      <c r="BS62" s="4" t="e">
        <f t="shared" si="52"/>
        <v>#N/A</v>
      </c>
      <c r="BT62" s="4" t="e">
        <f t="shared" si="53"/>
        <v>#N/A</v>
      </c>
      <c r="BV62" s="4">
        <v>54</v>
      </c>
      <c r="BW62" s="4" t="e">
        <f t="shared" si="54"/>
        <v>#N/A</v>
      </c>
      <c r="BX62" s="4" t="e">
        <f t="shared" si="55"/>
        <v>#N/A</v>
      </c>
      <c r="BZ62" s="4">
        <v>54</v>
      </c>
      <c r="CA62" s="4" t="e">
        <f t="shared" si="56"/>
        <v>#N/A</v>
      </c>
      <c r="CB62" s="4" t="e">
        <f t="shared" si="57"/>
        <v>#N/A</v>
      </c>
      <c r="CC62" s="4" t="e">
        <f t="shared" si="58"/>
        <v>#N/A</v>
      </c>
      <c r="CD62" s="4" t="e">
        <f t="shared" si="59"/>
        <v>#N/A</v>
      </c>
      <c r="CG62" s="4">
        <v>54</v>
      </c>
      <c r="CH62" s="4" t="e">
        <f t="shared" si="88"/>
        <v>#N/A</v>
      </c>
      <c r="CI62" s="4" t="e">
        <f t="shared" si="89"/>
        <v>#N/A</v>
      </c>
      <c r="CJ62" s="4" t="e">
        <f t="shared" si="90"/>
        <v>#N/A</v>
      </c>
      <c r="CL62">
        <f t="shared" si="67"/>
        <v>0</v>
      </c>
      <c r="CM62">
        <f t="shared" si="68"/>
        <v>0</v>
      </c>
    </row>
    <row r="63" spans="2:91" ht="15.75" thickBot="1" x14ac:dyDescent="0.3">
      <c r="B63">
        <f t="shared" si="61"/>
        <v>0</v>
      </c>
      <c r="C63" s="16">
        <v>55</v>
      </c>
      <c r="D63" s="146" t="str">
        <f>IF('Front sheet'!$F36="","",'Front sheet'!$F36)</f>
        <v/>
      </c>
      <c r="E63" s="148" t="e">
        <f>IF('Front sheet'!H36="",NA(),'Front sheet'!H36)</f>
        <v>#N/A</v>
      </c>
      <c r="F63" s="196" t="e">
        <f>IF('Front sheet'!H36="",NA(),'Front sheet'!G36/'Front sheet'!H36)</f>
        <v>#N/A</v>
      </c>
      <c r="G63" s="205">
        <f t="shared" ca="1" si="69"/>
        <v>0.87525423728813556</v>
      </c>
      <c r="H63" s="201" t="e">
        <f t="shared" ca="1" si="33"/>
        <v>#N/A</v>
      </c>
      <c r="I63" s="157" t="e">
        <f t="shared" ca="1" si="34"/>
        <v>#N/A</v>
      </c>
      <c r="J63" s="151" t="e">
        <f>IF('Front sheet'!H36="",NA(),'Front sheet'!G36)</f>
        <v>#N/A</v>
      </c>
      <c r="K63" s="10" t="str">
        <f t="shared" si="70"/>
        <v/>
      </c>
      <c r="L63" s="9" t="e">
        <f t="shared" ca="1" si="71"/>
        <v>#N/A</v>
      </c>
      <c r="M63" s="8" t="e">
        <f t="shared" ca="1" si="72"/>
        <v>#N/A</v>
      </c>
      <c r="N63" t="e">
        <f t="shared" ca="1" si="73"/>
        <v>#N/A</v>
      </c>
      <c r="O63" s="8" t="e">
        <f t="shared" ca="1" si="60"/>
        <v>#N/A</v>
      </c>
      <c r="P63" t="e">
        <f t="shared" ca="1" si="74"/>
        <v>#N/A</v>
      </c>
      <c r="Q63" s="8">
        <f>IF(ISERROR($F63),0,IF($F63&gt;$H63,MAX($Q$8:Q62)+1,0))</f>
        <v>0</v>
      </c>
      <c r="R63" s="8">
        <f>IF(ISERROR($F63),0,IF($F63&lt;$I63,MAX($R$8:R62)+1,0))</f>
        <v>0</v>
      </c>
      <c r="T63" s="8">
        <f t="shared" si="75"/>
        <v>0</v>
      </c>
      <c r="U63" s="8">
        <f t="shared" ca="1" si="37"/>
        <v>0</v>
      </c>
      <c r="W63" s="8">
        <f t="shared" si="76"/>
        <v>0</v>
      </c>
      <c r="X63" s="8">
        <f t="shared" ca="1" si="38"/>
        <v>0</v>
      </c>
      <c r="Z63" s="8">
        <f t="shared" si="77"/>
        <v>0</v>
      </c>
      <c r="AA63" s="8">
        <f t="shared" si="39"/>
        <v>0</v>
      </c>
      <c r="AC63" s="8">
        <f t="shared" si="78"/>
        <v>0</v>
      </c>
      <c r="AD63" s="8">
        <f t="shared" si="40"/>
        <v>0</v>
      </c>
      <c r="AF63" s="8">
        <f t="shared" si="41"/>
        <v>0</v>
      </c>
      <c r="AG63" s="8">
        <f t="shared" si="42"/>
        <v>0</v>
      </c>
      <c r="AH63" s="8">
        <f t="shared" si="43"/>
        <v>0</v>
      </c>
      <c r="AI63" s="8">
        <f t="shared" si="44"/>
        <v>0</v>
      </c>
      <c r="AK63" s="11" t="e">
        <f t="shared" si="12"/>
        <v>#N/A</v>
      </c>
      <c r="AL63" s="8"/>
      <c r="AN63" s="8"/>
      <c r="AO63" s="8"/>
      <c r="AP63" s="8" t="e">
        <f>IF(C63&lt;=$E$3,IF(OR('Front sheet'!$Q$3="",'Front sheet'!$Q$3=0),NA(),'Front sheet'!$Q$3),NA())</f>
        <v>#N/A</v>
      </c>
      <c r="AQ63" s="8" t="e">
        <f t="shared" ca="1" si="45"/>
        <v>#N/A</v>
      </c>
      <c r="AR63" s="8" t="e">
        <f t="shared" ca="1" si="46"/>
        <v>#N/A</v>
      </c>
      <c r="AS63" s="8" t="e">
        <f t="shared" ca="1" si="47"/>
        <v>#N/A</v>
      </c>
      <c r="AT63" s="8" t="e">
        <f t="shared" ca="1" si="48"/>
        <v>#N/A</v>
      </c>
      <c r="AU63" s="8" t="e">
        <f t="shared" si="49"/>
        <v>#N/A</v>
      </c>
      <c r="AV63" s="8" t="e">
        <f t="shared" ca="1" si="50"/>
        <v>#N/A</v>
      </c>
      <c r="AX63" s="7" t="str">
        <f t="shared" si="79"/>
        <v/>
      </c>
      <c r="AY63" s="2" t="str">
        <f t="shared" si="80"/>
        <v/>
      </c>
      <c r="BA63" s="2">
        <v>55</v>
      </c>
      <c r="BB63">
        <f t="shared" ca="1" si="81"/>
        <v>3</v>
      </c>
      <c r="BC63" s="14" t="str">
        <f t="shared" si="82"/>
        <v/>
      </c>
      <c r="BD63" s="5" t="e">
        <f t="shared" si="62"/>
        <v>#N/A</v>
      </c>
      <c r="BE63" s="5" t="e">
        <f t="shared" si="63"/>
        <v>#N/A</v>
      </c>
      <c r="BF63" s="5" t="e">
        <f t="shared" si="64"/>
        <v>#N/A</v>
      </c>
      <c r="BG63" s="5" t="e">
        <f t="shared" si="65"/>
        <v>#N/A</v>
      </c>
      <c r="BH63" s="5" t="e">
        <f t="shared" si="66"/>
        <v>#N/A</v>
      </c>
      <c r="BI63">
        <f t="shared" ca="1" si="83"/>
        <v>1</v>
      </c>
      <c r="BJ63" s="158" t="e">
        <f t="shared" si="84"/>
        <v>#N/A</v>
      </c>
      <c r="BK63" s="158" t="e">
        <f t="shared" si="85"/>
        <v>#N/A</v>
      </c>
      <c r="BL63" s="158" t="e">
        <f t="shared" si="86"/>
        <v>#N/A</v>
      </c>
      <c r="BM63" s="158" t="e">
        <f t="shared" si="87"/>
        <v>#N/A</v>
      </c>
      <c r="BN63" s="19"/>
      <c r="BQ63" s="4">
        <v>55</v>
      </c>
      <c r="BR63" s="4" t="e">
        <f t="shared" si="51"/>
        <v>#N/A</v>
      </c>
      <c r="BS63" s="4" t="e">
        <f t="shared" si="52"/>
        <v>#N/A</v>
      </c>
      <c r="BT63" s="4" t="e">
        <f t="shared" si="53"/>
        <v>#N/A</v>
      </c>
      <c r="BV63" s="4">
        <v>55</v>
      </c>
      <c r="BW63" s="4" t="e">
        <f t="shared" si="54"/>
        <v>#N/A</v>
      </c>
      <c r="BX63" s="4" t="e">
        <f t="shared" si="55"/>
        <v>#N/A</v>
      </c>
      <c r="BZ63" s="4">
        <v>55</v>
      </c>
      <c r="CA63" s="4" t="e">
        <f t="shared" si="56"/>
        <v>#N/A</v>
      </c>
      <c r="CB63" s="4" t="e">
        <f t="shared" si="57"/>
        <v>#N/A</v>
      </c>
      <c r="CC63" s="4" t="e">
        <f t="shared" si="58"/>
        <v>#N/A</v>
      </c>
      <c r="CD63" s="4" t="e">
        <f t="shared" si="59"/>
        <v>#N/A</v>
      </c>
      <c r="CG63" s="4">
        <v>55</v>
      </c>
      <c r="CH63" s="4" t="e">
        <f t="shared" si="88"/>
        <v>#N/A</v>
      </c>
      <c r="CI63" s="4" t="e">
        <f t="shared" si="89"/>
        <v>#N/A</v>
      </c>
      <c r="CJ63" s="4" t="e">
        <f t="shared" si="90"/>
        <v>#N/A</v>
      </c>
      <c r="CL63">
        <f t="shared" si="67"/>
        <v>0</v>
      </c>
      <c r="CM63">
        <f t="shared" si="68"/>
        <v>0</v>
      </c>
    </row>
    <row r="64" spans="2:91" ht="15.75" thickBot="1" x14ac:dyDescent="0.3">
      <c r="B64">
        <f t="shared" si="61"/>
        <v>0</v>
      </c>
      <c r="C64" s="13">
        <v>56</v>
      </c>
      <c r="D64" s="147" t="str">
        <f>IF('Front sheet'!$F37="","",'Front sheet'!$F37)</f>
        <v/>
      </c>
      <c r="E64" s="152" t="e">
        <f>IF('Front sheet'!H37="",NA(),'Front sheet'!H37)</f>
        <v>#N/A</v>
      </c>
      <c r="F64" s="199" t="e">
        <f>IF('Front sheet'!H37="",NA(),'Front sheet'!G37/'Front sheet'!H37)</f>
        <v>#N/A</v>
      </c>
      <c r="G64" s="205">
        <f t="shared" ca="1" si="69"/>
        <v>0.87525423728813556</v>
      </c>
      <c r="H64" s="204" t="e">
        <f t="shared" ca="1" si="33"/>
        <v>#N/A</v>
      </c>
      <c r="I64" s="190" t="e">
        <f t="shared" ca="1" si="34"/>
        <v>#N/A</v>
      </c>
      <c r="J64" s="191" t="e">
        <f>IF('Front sheet'!H37="",NA(),'Front sheet'!G37)</f>
        <v>#N/A</v>
      </c>
      <c r="K64" s="10" t="str">
        <f t="shared" si="70"/>
        <v/>
      </c>
      <c r="L64" s="9" t="e">
        <f t="shared" ca="1" si="71"/>
        <v>#N/A</v>
      </c>
      <c r="M64" s="8" t="e">
        <f t="shared" ca="1" si="72"/>
        <v>#N/A</v>
      </c>
      <c r="N64" t="e">
        <f t="shared" ca="1" si="73"/>
        <v>#N/A</v>
      </c>
      <c r="O64" s="8" t="e">
        <f t="shared" ca="1" si="60"/>
        <v>#N/A</v>
      </c>
      <c r="P64" t="e">
        <f t="shared" ca="1" si="74"/>
        <v>#N/A</v>
      </c>
      <c r="Q64" s="8">
        <f>IF(ISERROR($F64),0,IF($F64&gt;$H64,MAX($Q$8:Q63)+1,0))</f>
        <v>0</v>
      </c>
      <c r="R64" s="8">
        <f>IF(ISERROR($F64),0,IF($F64&lt;$I64,MAX($R$8:R63)+1,0))</f>
        <v>0</v>
      </c>
      <c r="T64" s="8">
        <f t="shared" si="75"/>
        <v>0</v>
      </c>
      <c r="U64" s="8">
        <f t="shared" ca="1" si="37"/>
        <v>0</v>
      </c>
      <c r="W64" s="8">
        <f t="shared" si="76"/>
        <v>0</v>
      </c>
      <c r="X64" s="8">
        <f t="shared" ca="1" si="38"/>
        <v>0</v>
      </c>
      <c r="Z64" s="8">
        <f t="shared" si="77"/>
        <v>0</v>
      </c>
      <c r="AA64" s="8">
        <f t="shared" si="39"/>
        <v>0</v>
      </c>
      <c r="AC64" s="8">
        <f t="shared" si="78"/>
        <v>0</v>
      </c>
      <c r="AD64" s="8">
        <f t="shared" si="40"/>
        <v>0</v>
      </c>
      <c r="AF64" s="8">
        <f t="shared" si="41"/>
        <v>0</v>
      </c>
      <c r="AG64" s="8">
        <f t="shared" si="42"/>
        <v>0</v>
      </c>
      <c r="AH64" s="8">
        <f t="shared" si="43"/>
        <v>0</v>
      </c>
      <c r="AI64" s="8">
        <f t="shared" si="44"/>
        <v>0</v>
      </c>
      <c r="AK64" s="11" t="e">
        <f t="shared" si="12"/>
        <v>#N/A</v>
      </c>
      <c r="AL64" s="8"/>
      <c r="AN64" s="8"/>
      <c r="AO64" s="8"/>
      <c r="AP64" s="8" t="e">
        <f>IF(C64&lt;=$E$3,IF(OR('Front sheet'!$Q$3="",'Front sheet'!$Q$3=0),NA(),'Front sheet'!$Q$3),NA())</f>
        <v>#N/A</v>
      </c>
      <c r="AQ64" s="8" t="e">
        <f t="shared" ca="1" si="45"/>
        <v>#N/A</v>
      </c>
      <c r="AR64" s="8" t="e">
        <f t="shared" ca="1" si="46"/>
        <v>#N/A</v>
      </c>
      <c r="AS64" s="8" t="e">
        <f t="shared" ca="1" si="47"/>
        <v>#N/A</v>
      </c>
      <c r="AT64" s="8" t="e">
        <f t="shared" ca="1" si="48"/>
        <v>#N/A</v>
      </c>
      <c r="AU64" s="8" t="e">
        <f t="shared" si="49"/>
        <v>#N/A</v>
      </c>
      <c r="AV64" s="8" t="e">
        <f t="shared" ca="1" si="50"/>
        <v>#N/A</v>
      </c>
      <c r="AX64" s="7" t="str">
        <f t="shared" si="79"/>
        <v/>
      </c>
      <c r="AY64" s="2" t="str">
        <f t="shared" si="80"/>
        <v/>
      </c>
      <c r="BA64" s="2">
        <v>56</v>
      </c>
      <c r="BB64">
        <f t="shared" ca="1" si="81"/>
        <v>3</v>
      </c>
      <c r="BC64" s="14" t="str">
        <f t="shared" si="82"/>
        <v/>
      </c>
      <c r="BD64" s="5" t="e">
        <f t="shared" si="62"/>
        <v>#N/A</v>
      </c>
      <c r="BE64" s="5" t="e">
        <f t="shared" si="63"/>
        <v>#N/A</v>
      </c>
      <c r="BF64" s="5" t="e">
        <f t="shared" si="64"/>
        <v>#N/A</v>
      </c>
      <c r="BG64" s="5" t="e">
        <f t="shared" si="65"/>
        <v>#N/A</v>
      </c>
      <c r="BH64" s="5" t="e">
        <f t="shared" si="66"/>
        <v>#N/A</v>
      </c>
      <c r="BI64">
        <f t="shared" ca="1" si="83"/>
        <v>1</v>
      </c>
      <c r="BJ64" s="158" t="e">
        <f t="shared" si="84"/>
        <v>#N/A</v>
      </c>
      <c r="BK64" s="158" t="e">
        <f t="shared" si="85"/>
        <v>#N/A</v>
      </c>
      <c r="BL64" s="158" t="e">
        <f t="shared" si="86"/>
        <v>#N/A</v>
      </c>
      <c r="BM64" s="158" t="e">
        <f t="shared" si="87"/>
        <v>#N/A</v>
      </c>
      <c r="BN64" s="19"/>
      <c r="BQ64" s="4">
        <v>56</v>
      </c>
      <c r="BR64" s="4" t="e">
        <f t="shared" si="51"/>
        <v>#N/A</v>
      </c>
      <c r="BS64" s="4" t="e">
        <f t="shared" si="52"/>
        <v>#N/A</v>
      </c>
      <c r="BT64" s="4" t="e">
        <f t="shared" si="53"/>
        <v>#N/A</v>
      </c>
      <c r="BV64" s="4">
        <v>56</v>
      </c>
      <c r="BW64" s="4" t="e">
        <f t="shared" si="54"/>
        <v>#N/A</v>
      </c>
      <c r="BX64" s="4" t="e">
        <f t="shared" si="55"/>
        <v>#N/A</v>
      </c>
      <c r="BZ64" s="4">
        <v>56</v>
      </c>
      <c r="CA64" s="4" t="e">
        <f t="shared" si="56"/>
        <v>#N/A</v>
      </c>
      <c r="CB64" s="4" t="e">
        <f t="shared" si="57"/>
        <v>#N/A</v>
      </c>
      <c r="CC64" s="4" t="e">
        <f t="shared" si="58"/>
        <v>#N/A</v>
      </c>
      <c r="CD64" s="4" t="e">
        <f t="shared" si="59"/>
        <v>#N/A</v>
      </c>
      <c r="CG64" s="4">
        <v>56</v>
      </c>
      <c r="CH64" s="4" t="e">
        <f t="shared" si="88"/>
        <v>#N/A</v>
      </c>
      <c r="CI64" s="4" t="e">
        <f t="shared" si="89"/>
        <v>#N/A</v>
      </c>
      <c r="CJ64" s="4" t="e">
        <f t="shared" si="90"/>
        <v>#N/A</v>
      </c>
      <c r="CL64">
        <f t="shared" si="67"/>
        <v>0</v>
      </c>
      <c r="CM64">
        <f t="shared" si="68"/>
        <v>0</v>
      </c>
    </row>
    <row r="65" spans="2:91" ht="15.75" thickBot="1" x14ac:dyDescent="0.3">
      <c r="B65">
        <f t="shared" si="61"/>
        <v>0</v>
      </c>
      <c r="C65" s="18">
        <v>57</v>
      </c>
      <c r="D65" s="15" t="str">
        <f>IF('Front sheet'!$I10="","",'Front sheet'!$I10)</f>
        <v/>
      </c>
      <c r="E65" s="149" t="e">
        <f>IF('Front sheet'!K10="",NA(),'Front sheet'!K10)</f>
        <v>#N/A</v>
      </c>
      <c r="F65" s="195" t="e">
        <f>IF('Front sheet'!K10="",NA(),'Front sheet'!J10/'Front sheet'!K10)</f>
        <v>#N/A</v>
      </c>
      <c r="G65" s="206">
        <f t="shared" ca="1" si="69"/>
        <v>0.87525423728813556</v>
      </c>
      <c r="H65" s="200" t="e">
        <f t="shared" ca="1" si="33"/>
        <v>#N/A</v>
      </c>
      <c r="I65" s="192" t="e">
        <f t="shared" ca="1" si="34"/>
        <v>#N/A</v>
      </c>
      <c r="J65" s="150" t="e">
        <f>IF('Front sheet'!K10="",NA(),'Front sheet'!J10)</f>
        <v>#N/A</v>
      </c>
      <c r="K65" s="10" t="str">
        <f t="shared" si="70"/>
        <v/>
      </c>
      <c r="L65" s="9" t="e">
        <f t="shared" ca="1" si="71"/>
        <v>#N/A</v>
      </c>
      <c r="M65" s="8" t="e">
        <f t="shared" ca="1" si="72"/>
        <v>#N/A</v>
      </c>
      <c r="N65" t="e">
        <f t="shared" ca="1" si="73"/>
        <v>#N/A</v>
      </c>
      <c r="O65" s="8" t="e">
        <f t="shared" ca="1" si="60"/>
        <v>#N/A</v>
      </c>
      <c r="P65" t="e">
        <f t="shared" ca="1" si="74"/>
        <v>#N/A</v>
      </c>
      <c r="Q65" s="8">
        <f>IF(ISERROR($F65),0,IF($F65&gt;$H65,MAX($Q$8:Q64)+1,0))</f>
        <v>0</v>
      </c>
      <c r="R65" s="8">
        <f>IF(ISERROR($F65),0,IF($F65&lt;$I65,MAX($R$8:R64)+1,0))</f>
        <v>0</v>
      </c>
      <c r="T65" s="8">
        <f t="shared" si="75"/>
        <v>0</v>
      </c>
      <c r="U65" s="8">
        <f t="shared" ca="1" si="37"/>
        <v>0</v>
      </c>
      <c r="W65" s="8">
        <f t="shared" si="76"/>
        <v>0</v>
      </c>
      <c r="X65" s="8">
        <f t="shared" ca="1" si="38"/>
        <v>0</v>
      </c>
      <c r="Z65" s="8">
        <f t="shared" si="77"/>
        <v>0</v>
      </c>
      <c r="AA65" s="8">
        <f t="shared" si="39"/>
        <v>0</v>
      </c>
      <c r="AC65" s="8">
        <f t="shared" si="78"/>
        <v>0</v>
      </c>
      <c r="AD65" s="8">
        <f t="shared" si="40"/>
        <v>0</v>
      </c>
      <c r="AF65" s="8">
        <f t="shared" si="41"/>
        <v>0</v>
      </c>
      <c r="AG65" s="8">
        <f t="shared" si="42"/>
        <v>0</v>
      </c>
      <c r="AH65" s="8">
        <f t="shared" si="43"/>
        <v>0</v>
      </c>
      <c r="AI65" s="8">
        <f t="shared" si="44"/>
        <v>0</v>
      </c>
      <c r="AK65" s="11" t="e">
        <f t="shared" si="12"/>
        <v>#N/A</v>
      </c>
      <c r="AL65" s="8"/>
      <c r="AN65" s="8"/>
      <c r="AO65" s="8"/>
      <c r="AP65" s="8" t="e">
        <f>IF(C65&lt;=$E$3,IF(OR('Front sheet'!$Q$3="",'Front sheet'!$Q$3=0),NA(),'Front sheet'!$Q$3),NA())</f>
        <v>#N/A</v>
      </c>
      <c r="AQ65" s="8" t="e">
        <f t="shared" ca="1" si="45"/>
        <v>#N/A</v>
      </c>
      <c r="AR65" s="8" t="e">
        <f t="shared" ca="1" si="46"/>
        <v>#N/A</v>
      </c>
      <c r="AS65" s="8" t="e">
        <f t="shared" ca="1" si="47"/>
        <v>#N/A</v>
      </c>
      <c r="AT65" s="8" t="e">
        <f t="shared" ca="1" si="48"/>
        <v>#N/A</v>
      </c>
      <c r="AU65" s="8" t="e">
        <f t="shared" si="49"/>
        <v>#N/A</v>
      </c>
      <c r="AV65" s="8" t="e">
        <f t="shared" ca="1" si="50"/>
        <v>#N/A</v>
      </c>
      <c r="AX65" s="7" t="str">
        <f t="shared" si="79"/>
        <v/>
      </c>
      <c r="AY65" s="2" t="str">
        <f t="shared" si="80"/>
        <v/>
      </c>
      <c r="BA65" s="2">
        <v>57</v>
      </c>
      <c r="BB65">
        <f t="shared" ca="1" si="81"/>
        <v>3</v>
      </c>
      <c r="BC65" s="14" t="str">
        <f t="shared" si="82"/>
        <v/>
      </c>
      <c r="BD65" s="5" t="e">
        <f>IF($BD$6=0,#N/A,IF(BB65=BD$7,#REF!-$BC$2,#N/A))</f>
        <v>#N/A</v>
      </c>
      <c r="BE65" s="5" t="e">
        <f>IF($BE$6=0,#N/A,IF($BB65=BE$7,#REF!-$BC$2,#N/A))</f>
        <v>#N/A</v>
      </c>
      <c r="BF65" s="5" t="e">
        <f>IF($BF$6=0,#N/A,IF($BB65=BF$7,#REF!-$BC$2,#N/A))</f>
        <v>#N/A</v>
      </c>
      <c r="BG65" s="5" t="e">
        <f>IF($BG$6=0,#N/A,IF($BB65=BG$7,#REF!-$BC$2,#N/A))</f>
        <v>#N/A</v>
      </c>
      <c r="BH65" s="5" t="e">
        <f>IF($BH$6=0,#N/A,IF($BB65=BH$7,#REF!-$BC$2,#N/A))</f>
        <v>#N/A</v>
      </c>
      <c r="BI65">
        <f t="shared" ca="1" si="83"/>
        <v>1</v>
      </c>
      <c r="BJ65" s="158" t="e">
        <f t="shared" si="84"/>
        <v>#N/A</v>
      </c>
      <c r="BK65" s="158" t="e">
        <f t="shared" si="85"/>
        <v>#N/A</v>
      </c>
      <c r="BL65" s="158" t="e">
        <f t="shared" si="86"/>
        <v>#N/A</v>
      </c>
      <c r="BM65" s="158" t="e">
        <f t="shared" si="87"/>
        <v>#N/A</v>
      </c>
      <c r="BN65" s="19"/>
      <c r="BQ65" s="4">
        <v>57</v>
      </c>
      <c r="BR65" s="4" t="e">
        <f t="shared" si="51"/>
        <v>#N/A</v>
      </c>
      <c r="BS65" s="4" t="e">
        <f t="shared" si="52"/>
        <v>#N/A</v>
      </c>
      <c r="BT65" s="4" t="e">
        <f t="shared" si="53"/>
        <v>#N/A</v>
      </c>
      <c r="BV65" s="4">
        <v>57</v>
      </c>
      <c r="BW65" s="4" t="e">
        <f t="shared" si="54"/>
        <v>#N/A</v>
      </c>
      <c r="BX65" s="4" t="e">
        <f t="shared" si="55"/>
        <v>#N/A</v>
      </c>
      <c r="BZ65" s="4">
        <v>57</v>
      </c>
      <c r="CA65" s="4" t="e">
        <f t="shared" si="56"/>
        <v>#N/A</v>
      </c>
      <c r="CB65" s="4" t="e">
        <f t="shared" si="57"/>
        <v>#N/A</v>
      </c>
      <c r="CC65" s="4" t="e">
        <f t="shared" si="58"/>
        <v>#N/A</v>
      </c>
      <c r="CD65" s="4" t="e">
        <f t="shared" si="59"/>
        <v>#N/A</v>
      </c>
      <c r="CG65" s="4">
        <v>57</v>
      </c>
      <c r="CH65" s="4" t="e">
        <f t="shared" si="88"/>
        <v>#N/A</v>
      </c>
      <c r="CI65" s="4" t="e">
        <f t="shared" si="89"/>
        <v>#N/A</v>
      </c>
      <c r="CJ65" s="4" t="e">
        <f t="shared" si="90"/>
        <v>#N/A</v>
      </c>
      <c r="CL65">
        <f>IF(ISERROR(#REF!),0,#REF!)</f>
        <v>0</v>
      </c>
      <c r="CM65">
        <f>IF(ISERROR(#REF!),0,1)</f>
        <v>0</v>
      </c>
    </row>
    <row r="66" spans="2:91" ht="15.75" thickBot="1" x14ac:dyDescent="0.3">
      <c r="B66">
        <f t="shared" si="61"/>
        <v>0</v>
      </c>
      <c r="C66" s="16">
        <v>58</v>
      </c>
      <c r="D66" s="15" t="str">
        <f>IF('Front sheet'!$I11="","",'Front sheet'!$I11)</f>
        <v/>
      </c>
      <c r="E66" s="149" t="e">
        <f>IF('Front sheet'!K11="",NA(),'Front sheet'!K11)</f>
        <v>#N/A</v>
      </c>
      <c r="F66" s="196" t="e">
        <f>IF('Front sheet'!K11="",NA(),'Front sheet'!J11/'Front sheet'!K11)</f>
        <v>#N/A</v>
      </c>
      <c r="G66" s="205">
        <f t="shared" ca="1" si="69"/>
        <v>0.87525423728813556</v>
      </c>
      <c r="H66" s="201" t="e">
        <f t="shared" ca="1" si="33"/>
        <v>#N/A</v>
      </c>
      <c r="I66" s="157" t="e">
        <f t="shared" ca="1" si="34"/>
        <v>#N/A</v>
      </c>
      <c r="J66" s="151" t="e">
        <f>IF('Front sheet'!K11="",NA(),'Front sheet'!J11)</f>
        <v>#N/A</v>
      </c>
      <c r="K66" s="10" t="str">
        <f t="shared" si="70"/>
        <v/>
      </c>
      <c r="L66" s="9" t="e">
        <f t="shared" ca="1" si="71"/>
        <v>#N/A</v>
      </c>
      <c r="M66" s="8" t="e">
        <f t="shared" ca="1" si="72"/>
        <v>#N/A</v>
      </c>
      <c r="N66" t="e">
        <f t="shared" ca="1" si="73"/>
        <v>#N/A</v>
      </c>
      <c r="O66" s="8" t="e">
        <f t="shared" ca="1" si="60"/>
        <v>#N/A</v>
      </c>
      <c r="P66" t="e">
        <f t="shared" ca="1" si="74"/>
        <v>#N/A</v>
      </c>
      <c r="Q66" s="8">
        <f>IF(ISERROR($F66),0,IF($F66&gt;$H66,MAX($Q$8:Q65)+1,0))</f>
        <v>0</v>
      </c>
      <c r="R66" s="8">
        <f>IF(ISERROR($F66),0,IF($F66&lt;$I66,MAX($R$8:R65)+1,0))</f>
        <v>0</v>
      </c>
      <c r="T66" s="8">
        <f t="shared" si="75"/>
        <v>0</v>
      </c>
      <c r="U66" s="8">
        <f t="shared" ca="1" si="37"/>
        <v>0</v>
      </c>
      <c r="W66" s="8">
        <f t="shared" si="76"/>
        <v>0</v>
      </c>
      <c r="X66" s="8">
        <f t="shared" ca="1" si="38"/>
        <v>0</v>
      </c>
      <c r="Z66" s="8">
        <f t="shared" si="77"/>
        <v>0</v>
      </c>
      <c r="AA66" s="8">
        <f t="shared" si="39"/>
        <v>0</v>
      </c>
      <c r="AC66" s="8">
        <f t="shared" si="78"/>
        <v>0</v>
      </c>
      <c r="AD66" s="8">
        <f t="shared" si="40"/>
        <v>0</v>
      </c>
      <c r="AF66" s="8">
        <f t="shared" si="41"/>
        <v>0</v>
      </c>
      <c r="AG66" s="8">
        <f t="shared" si="42"/>
        <v>0</v>
      </c>
      <c r="AH66" s="8">
        <f t="shared" si="43"/>
        <v>0</v>
      </c>
      <c r="AI66" s="8">
        <f t="shared" si="44"/>
        <v>0</v>
      </c>
      <c r="AK66" s="11" t="e">
        <f t="shared" si="12"/>
        <v>#N/A</v>
      </c>
      <c r="AL66" s="8"/>
      <c r="AN66" s="8"/>
      <c r="AO66" s="8"/>
      <c r="AP66" s="8" t="e">
        <f>IF(C66&lt;=$E$3,IF(OR('Front sheet'!$Q$3="",'Front sheet'!$Q$3=0),NA(),'Front sheet'!$Q$3),NA())</f>
        <v>#N/A</v>
      </c>
      <c r="AQ66" s="8" t="e">
        <f t="shared" ca="1" si="45"/>
        <v>#N/A</v>
      </c>
      <c r="AR66" s="8" t="e">
        <f t="shared" ca="1" si="46"/>
        <v>#N/A</v>
      </c>
      <c r="AS66" s="8" t="e">
        <f t="shared" ca="1" si="47"/>
        <v>#N/A</v>
      </c>
      <c r="AT66" s="8" t="e">
        <f t="shared" ca="1" si="48"/>
        <v>#N/A</v>
      </c>
      <c r="AU66" s="8" t="e">
        <f t="shared" si="49"/>
        <v>#N/A</v>
      </c>
      <c r="AV66" s="8" t="e">
        <f t="shared" ca="1" si="50"/>
        <v>#N/A</v>
      </c>
      <c r="AX66" s="7" t="str">
        <f t="shared" si="79"/>
        <v/>
      </c>
      <c r="AY66" s="2" t="str">
        <f t="shared" si="80"/>
        <v/>
      </c>
      <c r="BA66" s="2">
        <v>58</v>
      </c>
      <c r="BB66">
        <f t="shared" ca="1" si="81"/>
        <v>3</v>
      </c>
      <c r="BC66" s="14" t="str">
        <f t="shared" si="82"/>
        <v/>
      </c>
      <c r="BD66" s="5" t="e">
        <f t="shared" ref="BD66:BD92" si="91">IF($BD$6=0,#N/A,IF(BB66=BD$7,$F66-$BC$2,#N/A))</f>
        <v>#N/A</v>
      </c>
      <c r="BE66" s="5" t="e">
        <f t="shared" ref="BE66:BE92" si="92">IF($BE$6=0,#N/A,IF($BB66=BE$7,$F66-$BC$2,#N/A))</f>
        <v>#N/A</v>
      </c>
      <c r="BF66" s="5" t="e">
        <f t="shared" ref="BF66:BF92" si="93">IF($BF$6=0,#N/A,IF($BB66=BF$7,$F66-$BC$2,#N/A))</f>
        <v>#N/A</v>
      </c>
      <c r="BG66" s="5" t="e">
        <f t="shared" ref="BG66:BG92" si="94">IF($BG$6=0,#N/A,IF($BB66=BG$7,$F66-$BC$2,#N/A))</f>
        <v>#N/A</v>
      </c>
      <c r="BH66" s="5" t="e">
        <f t="shared" ref="BH66:BH92" si="95">IF($BH$6=0,#N/A,IF($BB66=BH$7,$F66-$BC$2,#N/A))</f>
        <v>#N/A</v>
      </c>
      <c r="BI66">
        <f t="shared" ca="1" si="83"/>
        <v>1</v>
      </c>
      <c r="BJ66" s="158" t="e">
        <f t="shared" si="84"/>
        <v>#N/A</v>
      </c>
      <c r="BK66" s="158" t="e">
        <f t="shared" si="85"/>
        <v>#N/A</v>
      </c>
      <c r="BL66" s="158" t="e">
        <f t="shared" si="86"/>
        <v>#N/A</v>
      </c>
      <c r="BM66" s="158" t="e">
        <f t="shared" si="87"/>
        <v>#N/A</v>
      </c>
      <c r="BN66" s="19"/>
      <c r="BQ66" s="4">
        <v>58</v>
      </c>
      <c r="BR66" s="4" t="e">
        <f t="shared" si="51"/>
        <v>#N/A</v>
      </c>
      <c r="BS66" s="4" t="e">
        <f t="shared" si="52"/>
        <v>#N/A</v>
      </c>
      <c r="BT66" s="4" t="e">
        <f t="shared" si="53"/>
        <v>#N/A</v>
      </c>
      <c r="BV66" s="4">
        <v>58</v>
      </c>
      <c r="BW66" s="4" t="e">
        <f t="shared" si="54"/>
        <v>#N/A</v>
      </c>
      <c r="BX66" s="4" t="e">
        <f t="shared" si="55"/>
        <v>#N/A</v>
      </c>
      <c r="BZ66" s="4">
        <v>58</v>
      </c>
      <c r="CA66" s="4" t="e">
        <f t="shared" si="56"/>
        <v>#N/A</v>
      </c>
      <c r="CB66" s="4" t="e">
        <f t="shared" si="57"/>
        <v>#N/A</v>
      </c>
      <c r="CC66" s="4" t="e">
        <f t="shared" si="58"/>
        <v>#N/A</v>
      </c>
      <c r="CD66" s="4" t="e">
        <f t="shared" si="59"/>
        <v>#N/A</v>
      </c>
      <c r="CG66" s="4">
        <v>58</v>
      </c>
      <c r="CH66" s="4" t="e">
        <f t="shared" si="88"/>
        <v>#N/A</v>
      </c>
      <c r="CI66" s="4" t="e">
        <f t="shared" si="89"/>
        <v>#N/A</v>
      </c>
      <c r="CJ66" s="4" t="e">
        <f t="shared" si="90"/>
        <v>#N/A</v>
      </c>
      <c r="CL66">
        <f t="shared" ref="CL66:CL92" si="96">IF(ISERROR(F66),0,F66)</f>
        <v>0</v>
      </c>
      <c r="CM66">
        <f t="shared" ref="CM66:CM92" si="97">IF(ISERROR(F66),0,1)</f>
        <v>0</v>
      </c>
    </row>
    <row r="67" spans="2:91" ht="15.75" thickBot="1" x14ac:dyDescent="0.3">
      <c r="B67">
        <f t="shared" si="61"/>
        <v>0</v>
      </c>
      <c r="C67" s="16">
        <v>59</v>
      </c>
      <c r="D67" s="15" t="str">
        <f>IF('Front sheet'!$I12="","",'Front sheet'!$I12)</f>
        <v/>
      </c>
      <c r="E67" s="149" t="e">
        <f>IF('Front sheet'!K12="",NA(),'Front sheet'!K12)</f>
        <v>#N/A</v>
      </c>
      <c r="F67" s="196" t="e">
        <f>IF('Front sheet'!K12="",NA(),'Front sheet'!J12/'Front sheet'!K12)</f>
        <v>#N/A</v>
      </c>
      <c r="G67" s="205">
        <f t="shared" ca="1" si="69"/>
        <v>0.87525423728813556</v>
      </c>
      <c r="H67" s="201" t="e">
        <f t="shared" ca="1" si="33"/>
        <v>#N/A</v>
      </c>
      <c r="I67" s="157" t="e">
        <f t="shared" ca="1" si="34"/>
        <v>#N/A</v>
      </c>
      <c r="J67" s="151" t="e">
        <f>IF('Front sheet'!K12="",NA(),'Front sheet'!J12)</f>
        <v>#N/A</v>
      </c>
      <c r="K67" s="10" t="str">
        <f t="shared" si="70"/>
        <v/>
      </c>
      <c r="L67" s="9" t="e">
        <f t="shared" ca="1" si="71"/>
        <v>#N/A</v>
      </c>
      <c r="M67" s="8" t="e">
        <f t="shared" ca="1" si="72"/>
        <v>#N/A</v>
      </c>
      <c r="N67" t="e">
        <f t="shared" ca="1" si="73"/>
        <v>#N/A</v>
      </c>
      <c r="O67" s="8" t="e">
        <f t="shared" ca="1" si="60"/>
        <v>#N/A</v>
      </c>
      <c r="P67" t="e">
        <f t="shared" ca="1" si="74"/>
        <v>#N/A</v>
      </c>
      <c r="Q67" s="8">
        <f>IF(ISERROR($F67),0,IF($F67&gt;$H67,MAX($Q$8:Q66)+1,0))</f>
        <v>0</v>
      </c>
      <c r="R67" s="8">
        <f>IF(ISERROR($F67),0,IF($F67&lt;$I67,MAX($R$8:R66)+1,0))</f>
        <v>0</v>
      </c>
      <c r="T67" s="8">
        <f t="shared" si="75"/>
        <v>0</v>
      </c>
      <c r="U67" s="8">
        <f t="shared" ca="1" si="37"/>
        <v>0</v>
      </c>
      <c r="W67" s="8">
        <f t="shared" si="76"/>
        <v>0</v>
      </c>
      <c r="X67" s="8">
        <f t="shared" ca="1" si="38"/>
        <v>0</v>
      </c>
      <c r="Z67" s="8">
        <f t="shared" si="77"/>
        <v>0</v>
      </c>
      <c r="AA67" s="8">
        <f t="shared" si="39"/>
        <v>0</v>
      </c>
      <c r="AC67" s="8">
        <f t="shared" si="78"/>
        <v>0</v>
      </c>
      <c r="AD67" s="8">
        <f t="shared" si="40"/>
        <v>0</v>
      </c>
      <c r="AF67" s="8">
        <f t="shared" si="41"/>
        <v>0</v>
      </c>
      <c r="AG67" s="8">
        <f t="shared" si="42"/>
        <v>0</v>
      </c>
      <c r="AH67" s="8">
        <f t="shared" si="43"/>
        <v>0</v>
      </c>
      <c r="AI67" s="8">
        <f t="shared" si="44"/>
        <v>0</v>
      </c>
      <c r="AK67" s="11" t="e">
        <f t="shared" si="12"/>
        <v>#N/A</v>
      </c>
      <c r="AL67" s="8"/>
      <c r="AN67" s="8"/>
      <c r="AO67" s="8"/>
      <c r="AP67" s="8" t="e">
        <f>IF(C67&lt;=$E$3,IF(OR('Front sheet'!$Q$3="",'Front sheet'!$Q$3=0),NA(),'Front sheet'!$Q$3),NA())</f>
        <v>#N/A</v>
      </c>
      <c r="AQ67" s="8" t="e">
        <f t="shared" ca="1" si="45"/>
        <v>#N/A</v>
      </c>
      <c r="AR67" s="8" t="e">
        <f t="shared" ca="1" si="46"/>
        <v>#N/A</v>
      </c>
      <c r="AS67" s="8" t="e">
        <f t="shared" ca="1" si="47"/>
        <v>#N/A</v>
      </c>
      <c r="AT67" s="8" t="e">
        <f t="shared" ca="1" si="48"/>
        <v>#N/A</v>
      </c>
      <c r="AU67" s="8" t="e">
        <f t="shared" si="49"/>
        <v>#N/A</v>
      </c>
      <c r="AV67" s="8" t="e">
        <f t="shared" ca="1" si="50"/>
        <v>#N/A</v>
      </c>
      <c r="AX67" s="7" t="str">
        <f t="shared" si="79"/>
        <v/>
      </c>
      <c r="AY67" s="2" t="str">
        <f t="shared" si="80"/>
        <v/>
      </c>
      <c r="BA67" s="2">
        <v>59</v>
      </c>
      <c r="BB67">
        <f t="shared" ca="1" si="81"/>
        <v>3</v>
      </c>
      <c r="BC67" s="14" t="str">
        <f t="shared" si="82"/>
        <v/>
      </c>
      <c r="BD67" s="5" t="e">
        <f t="shared" si="91"/>
        <v>#N/A</v>
      </c>
      <c r="BE67" s="5" t="e">
        <f t="shared" si="92"/>
        <v>#N/A</v>
      </c>
      <c r="BF67" s="5" t="e">
        <f t="shared" si="93"/>
        <v>#N/A</v>
      </c>
      <c r="BG67" s="5" t="e">
        <f t="shared" si="94"/>
        <v>#N/A</v>
      </c>
      <c r="BH67" s="5" t="e">
        <f t="shared" si="95"/>
        <v>#N/A</v>
      </c>
      <c r="BI67">
        <f t="shared" ca="1" si="83"/>
        <v>1</v>
      </c>
      <c r="BJ67" s="158" t="e">
        <f t="shared" si="84"/>
        <v>#N/A</v>
      </c>
      <c r="BK67" s="158" t="e">
        <f t="shared" si="85"/>
        <v>#N/A</v>
      </c>
      <c r="BL67" s="158" t="e">
        <f t="shared" si="86"/>
        <v>#N/A</v>
      </c>
      <c r="BM67" s="158" t="e">
        <f t="shared" si="87"/>
        <v>#N/A</v>
      </c>
      <c r="BN67" s="19"/>
      <c r="BQ67" s="4">
        <v>59</v>
      </c>
      <c r="BR67" s="4" t="e">
        <f t="shared" si="51"/>
        <v>#N/A</v>
      </c>
      <c r="BS67" s="4" t="e">
        <f t="shared" si="52"/>
        <v>#N/A</v>
      </c>
      <c r="BT67" s="4" t="e">
        <f t="shared" si="53"/>
        <v>#N/A</v>
      </c>
      <c r="BV67" s="4">
        <v>59</v>
      </c>
      <c r="BW67" s="4" t="e">
        <f t="shared" si="54"/>
        <v>#N/A</v>
      </c>
      <c r="BX67" s="4" t="e">
        <f t="shared" si="55"/>
        <v>#N/A</v>
      </c>
      <c r="BZ67" s="4">
        <v>59</v>
      </c>
      <c r="CA67" s="4" t="e">
        <f t="shared" si="56"/>
        <v>#N/A</v>
      </c>
      <c r="CB67" s="4" t="e">
        <f t="shared" si="57"/>
        <v>#N/A</v>
      </c>
      <c r="CC67" s="4" t="e">
        <f t="shared" si="58"/>
        <v>#N/A</v>
      </c>
      <c r="CD67" s="4" t="e">
        <f t="shared" si="59"/>
        <v>#N/A</v>
      </c>
      <c r="CG67" s="4">
        <v>59</v>
      </c>
      <c r="CH67" s="4" t="e">
        <f t="shared" si="88"/>
        <v>#N/A</v>
      </c>
      <c r="CI67" s="4" t="e">
        <f t="shared" si="89"/>
        <v>#N/A</v>
      </c>
      <c r="CJ67" s="4" t="e">
        <f t="shared" si="90"/>
        <v>#N/A</v>
      </c>
      <c r="CL67">
        <f t="shared" si="96"/>
        <v>0</v>
      </c>
      <c r="CM67">
        <f t="shared" si="97"/>
        <v>0</v>
      </c>
    </row>
    <row r="68" spans="2:91" ht="15.75" thickBot="1" x14ac:dyDescent="0.3">
      <c r="B68">
        <f t="shared" si="61"/>
        <v>0</v>
      </c>
      <c r="C68" s="16">
        <v>60</v>
      </c>
      <c r="D68" s="15" t="str">
        <f>IF('Front sheet'!$I13="","",'Front sheet'!$I13)</f>
        <v/>
      </c>
      <c r="E68" s="149" t="e">
        <f>IF('Front sheet'!K13="",NA(),'Front sheet'!K13)</f>
        <v>#N/A</v>
      </c>
      <c r="F68" s="196" t="e">
        <f>IF('Front sheet'!K13="",NA(),'Front sheet'!J13/'Front sheet'!K13)</f>
        <v>#N/A</v>
      </c>
      <c r="G68" s="205">
        <f t="shared" ca="1" si="69"/>
        <v>0.87525423728813556</v>
      </c>
      <c r="H68" s="201" t="e">
        <f t="shared" ca="1" si="33"/>
        <v>#N/A</v>
      </c>
      <c r="I68" s="157" t="e">
        <f t="shared" ca="1" si="34"/>
        <v>#N/A</v>
      </c>
      <c r="J68" s="151" t="e">
        <f>IF('Front sheet'!K13="",NA(),'Front sheet'!J13)</f>
        <v>#N/A</v>
      </c>
      <c r="K68" s="10" t="str">
        <f t="shared" si="70"/>
        <v/>
      </c>
      <c r="L68" s="9" t="e">
        <f t="shared" ca="1" si="71"/>
        <v>#N/A</v>
      </c>
      <c r="M68" s="8" t="e">
        <f t="shared" ca="1" si="72"/>
        <v>#N/A</v>
      </c>
      <c r="N68" t="e">
        <f t="shared" ca="1" si="73"/>
        <v>#N/A</v>
      </c>
      <c r="O68" s="8" t="e">
        <f t="shared" ca="1" si="60"/>
        <v>#N/A</v>
      </c>
      <c r="P68" t="e">
        <f t="shared" ca="1" si="74"/>
        <v>#N/A</v>
      </c>
      <c r="Q68" s="8">
        <f>IF(ISERROR($F68),0,IF($F68&gt;$H68,MAX($Q$8:Q67)+1,0))</f>
        <v>0</v>
      </c>
      <c r="R68" s="8">
        <f>IF(ISERROR($F68),0,IF($F68&lt;$I68,MAX($R$8:R67)+1,0))</f>
        <v>0</v>
      </c>
      <c r="T68" s="8">
        <f t="shared" si="75"/>
        <v>0</v>
      </c>
      <c r="U68" s="8">
        <f t="shared" ca="1" si="37"/>
        <v>0</v>
      </c>
      <c r="W68" s="8">
        <f t="shared" si="76"/>
        <v>0</v>
      </c>
      <c r="X68" s="8">
        <f t="shared" ca="1" si="38"/>
        <v>0</v>
      </c>
      <c r="Z68" s="8">
        <f t="shared" si="77"/>
        <v>0</v>
      </c>
      <c r="AA68" s="8">
        <f t="shared" si="39"/>
        <v>0</v>
      </c>
      <c r="AC68" s="8">
        <f t="shared" si="78"/>
        <v>0</v>
      </c>
      <c r="AD68" s="8">
        <f t="shared" si="40"/>
        <v>0</v>
      </c>
      <c r="AF68" s="8">
        <f t="shared" si="41"/>
        <v>0</v>
      </c>
      <c r="AG68" s="8">
        <f t="shared" si="42"/>
        <v>0</v>
      </c>
      <c r="AH68" s="8">
        <f t="shared" si="43"/>
        <v>0</v>
      </c>
      <c r="AI68" s="8">
        <f t="shared" si="44"/>
        <v>0</v>
      </c>
      <c r="AK68" s="11" t="e">
        <f t="shared" si="12"/>
        <v>#N/A</v>
      </c>
      <c r="AL68" s="8"/>
      <c r="AN68" s="8"/>
      <c r="AO68" s="8"/>
      <c r="AP68" s="8" t="e">
        <f>IF(C68&lt;=$E$3,IF(OR('Front sheet'!$Q$3="",'Front sheet'!$Q$3=0),NA(),'Front sheet'!$Q$3),NA())</f>
        <v>#N/A</v>
      </c>
      <c r="AQ68" s="8" t="e">
        <f t="shared" ca="1" si="45"/>
        <v>#N/A</v>
      </c>
      <c r="AR68" s="8" t="e">
        <f t="shared" ca="1" si="46"/>
        <v>#N/A</v>
      </c>
      <c r="AS68" s="8" t="e">
        <f t="shared" ca="1" si="47"/>
        <v>#N/A</v>
      </c>
      <c r="AT68" s="8" t="e">
        <f t="shared" ca="1" si="48"/>
        <v>#N/A</v>
      </c>
      <c r="AU68" s="8" t="e">
        <f t="shared" si="49"/>
        <v>#N/A</v>
      </c>
      <c r="AV68" s="8" t="e">
        <f t="shared" ca="1" si="50"/>
        <v>#N/A</v>
      </c>
      <c r="AX68" s="7" t="str">
        <f t="shared" si="79"/>
        <v/>
      </c>
      <c r="AY68" s="2" t="str">
        <f t="shared" si="80"/>
        <v/>
      </c>
      <c r="BA68" s="2">
        <v>60</v>
      </c>
      <c r="BB68">
        <f t="shared" ca="1" si="81"/>
        <v>3</v>
      </c>
      <c r="BC68" s="14" t="str">
        <f t="shared" si="82"/>
        <v/>
      </c>
      <c r="BD68" s="5" t="e">
        <f t="shared" si="91"/>
        <v>#N/A</v>
      </c>
      <c r="BE68" s="5" t="e">
        <f t="shared" si="92"/>
        <v>#N/A</v>
      </c>
      <c r="BF68" s="5" t="e">
        <f t="shared" si="93"/>
        <v>#N/A</v>
      </c>
      <c r="BG68" s="5" t="e">
        <f t="shared" si="94"/>
        <v>#N/A</v>
      </c>
      <c r="BH68" s="5" t="e">
        <f t="shared" si="95"/>
        <v>#N/A</v>
      </c>
      <c r="BI68">
        <f t="shared" ca="1" si="83"/>
        <v>1</v>
      </c>
      <c r="BJ68" s="158" t="e">
        <f t="shared" si="84"/>
        <v>#N/A</v>
      </c>
      <c r="BK68" s="158" t="e">
        <f t="shared" si="85"/>
        <v>#N/A</v>
      </c>
      <c r="BL68" s="158" t="e">
        <f t="shared" si="86"/>
        <v>#N/A</v>
      </c>
      <c r="BM68" s="158" t="e">
        <f t="shared" si="87"/>
        <v>#N/A</v>
      </c>
      <c r="BN68" s="19"/>
      <c r="BQ68" s="4">
        <v>60</v>
      </c>
      <c r="BR68" s="4" t="e">
        <f t="shared" si="51"/>
        <v>#N/A</v>
      </c>
      <c r="BS68" s="4" t="e">
        <f t="shared" si="52"/>
        <v>#N/A</v>
      </c>
      <c r="BT68" s="4" t="e">
        <f t="shared" si="53"/>
        <v>#N/A</v>
      </c>
      <c r="BV68" s="4">
        <v>60</v>
      </c>
      <c r="BW68" s="4" t="e">
        <f t="shared" si="54"/>
        <v>#N/A</v>
      </c>
      <c r="BX68" s="4" t="e">
        <f t="shared" si="55"/>
        <v>#N/A</v>
      </c>
      <c r="BZ68" s="4">
        <v>60</v>
      </c>
      <c r="CA68" s="4" t="e">
        <f t="shared" si="56"/>
        <v>#N/A</v>
      </c>
      <c r="CB68" s="4" t="e">
        <f t="shared" si="57"/>
        <v>#N/A</v>
      </c>
      <c r="CC68" s="4" t="e">
        <f t="shared" si="58"/>
        <v>#N/A</v>
      </c>
      <c r="CD68" s="4" t="e">
        <f t="shared" si="59"/>
        <v>#N/A</v>
      </c>
      <c r="CG68" s="4">
        <v>60</v>
      </c>
      <c r="CH68" s="4" t="e">
        <f t="shared" si="88"/>
        <v>#N/A</v>
      </c>
      <c r="CI68" s="4" t="e">
        <f t="shared" si="89"/>
        <v>#N/A</v>
      </c>
      <c r="CJ68" s="4" t="e">
        <f t="shared" si="90"/>
        <v>#N/A</v>
      </c>
      <c r="CL68">
        <f t="shared" si="96"/>
        <v>0</v>
      </c>
      <c r="CM68">
        <f t="shared" si="97"/>
        <v>0</v>
      </c>
    </row>
    <row r="69" spans="2:91" ht="15.75" thickBot="1" x14ac:dyDescent="0.3">
      <c r="B69">
        <f t="shared" si="61"/>
        <v>0</v>
      </c>
      <c r="C69" s="16">
        <v>61</v>
      </c>
      <c r="D69" s="15" t="str">
        <f>IF('Front sheet'!$I14="","",'Front sheet'!$I14)</f>
        <v/>
      </c>
      <c r="E69" s="149" t="e">
        <f>IF('Front sheet'!K14="",NA(),'Front sheet'!K14)</f>
        <v>#N/A</v>
      </c>
      <c r="F69" s="196" t="e">
        <f>IF('Front sheet'!K14="",NA(),'Front sheet'!J14/'Front sheet'!K14)</f>
        <v>#N/A</v>
      </c>
      <c r="G69" s="205">
        <f t="shared" ca="1" si="69"/>
        <v>0.87525423728813556</v>
      </c>
      <c r="H69" s="201" t="e">
        <f t="shared" ca="1" si="33"/>
        <v>#N/A</v>
      </c>
      <c r="I69" s="157" t="e">
        <f t="shared" ca="1" si="34"/>
        <v>#N/A</v>
      </c>
      <c r="J69" s="151" t="e">
        <f>IF('Front sheet'!K14="",NA(),'Front sheet'!J14)</f>
        <v>#N/A</v>
      </c>
      <c r="K69" s="10" t="str">
        <f t="shared" si="70"/>
        <v/>
      </c>
      <c r="L69" s="9" t="e">
        <f t="shared" ca="1" si="71"/>
        <v>#N/A</v>
      </c>
      <c r="M69" s="8" t="e">
        <f t="shared" ca="1" si="72"/>
        <v>#N/A</v>
      </c>
      <c r="N69" t="e">
        <f t="shared" ca="1" si="73"/>
        <v>#N/A</v>
      </c>
      <c r="O69" s="8" t="e">
        <f t="shared" ca="1" si="60"/>
        <v>#N/A</v>
      </c>
      <c r="P69" t="e">
        <f t="shared" ca="1" si="74"/>
        <v>#N/A</v>
      </c>
      <c r="Q69" s="8">
        <f>IF(ISERROR($F69),0,IF($F69&gt;$H69,MAX($Q$8:Q68)+1,0))</f>
        <v>0</v>
      </c>
      <c r="R69" s="8">
        <f>IF(ISERROR($F69),0,IF($F69&lt;$I69,MAX($R$8:R68)+1,0))</f>
        <v>0</v>
      </c>
      <c r="T69" s="8">
        <f t="shared" si="75"/>
        <v>0</v>
      </c>
      <c r="U69" s="8">
        <f t="shared" ca="1" si="37"/>
        <v>0</v>
      </c>
      <c r="W69" s="8">
        <f t="shared" si="76"/>
        <v>0</v>
      </c>
      <c r="X69" s="8">
        <f t="shared" ca="1" si="38"/>
        <v>0</v>
      </c>
      <c r="Z69" s="8">
        <f t="shared" si="77"/>
        <v>0</v>
      </c>
      <c r="AA69" s="8">
        <f t="shared" si="39"/>
        <v>0</v>
      </c>
      <c r="AC69" s="8">
        <f t="shared" si="78"/>
        <v>0</v>
      </c>
      <c r="AD69" s="8">
        <f t="shared" si="40"/>
        <v>0</v>
      </c>
      <c r="AF69" s="8">
        <f t="shared" si="41"/>
        <v>0</v>
      </c>
      <c r="AG69" s="8">
        <f t="shared" si="42"/>
        <v>0</v>
      </c>
      <c r="AH69" s="8">
        <f t="shared" si="43"/>
        <v>0</v>
      </c>
      <c r="AI69" s="8">
        <f t="shared" si="44"/>
        <v>0</v>
      </c>
      <c r="AK69" s="11" t="e">
        <f t="shared" si="12"/>
        <v>#N/A</v>
      </c>
      <c r="AL69" s="8"/>
      <c r="AN69" s="8"/>
      <c r="AO69" s="8"/>
      <c r="AP69" s="8" t="e">
        <f>IF(C69&lt;=$E$3,IF(OR('Front sheet'!$Q$3="",'Front sheet'!$Q$3=0),NA(),'Front sheet'!$Q$3),NA())</f>
        <v>#N/A</v>
      </c>
      <c r="AQ69" s="8" t="e">
        <f t="shared" ca="1" si="45"/>
        <v>#N/A</v>
      </c>
      <c r="AR69" s="8" t="e">
        <f t="shared" ca="1" si="46"/>
        <v>#N/A</v>
      </c>
      <c r="AS69" s="8" t="e">
        <f t="shared" ca="1" si="47"/>
        <v>#N/A</v>
      </c>
      <c r="AT69" s="8" t="e">
        <f t="shared" ca="1" si="48"/>
        <v>#N/A</v>
      </c>
      <c r="AU69" s="8" t="e">
        <f t="shared" si="49"/>
        <v>#N/A</v>
      </c>
      <c r="AV69" s="8" t="e">
        <f t="shared" ca="1" si="50"/>
        <v>#N/A</v>
      </c>
      <c r="AX69" s="7" t="str">
        <f t="shared" si="79"/>
        <v/>
      </c>
      <c r="AY69" s="2" t="str">
        <f t="shared" si="80"/>
        <v/>
      </c>
      <c r="BA69" s="2">
        <v>61</v>
      </c>
      <c r="BB69">
        <f t="shared" ca="1" si="81"/>
        <v>3</v>
      </c>
      <c r="BC69" s="14" t="str">
        <f t="shared" si="82"/>
        <v/>
      </c>
      <c r="BD69" s="5" t="e">
        <f t="shared" si="91"/>
        <v>#N/A</v>
      </c>
      <c r="BE69" s="5" t="e">
        <f t="shared" si="92"/>
        <v>#N/A</v>
      </c>
      <c r="BF69" s="5" t="e">
        <f t="shared" si="93"/>
        <v>#N/A</v>
      </c>
      <c r="BG69" s="5" t="e">
        <f t="shared" si="94"/>
        <v>#N/A</v>
      </c>
      <c r="BH69" s="5" t="e">
        <f t="shared" si="95"/>
        <v>#N/A</v>
      </c>
      <c r="BI69">
        <f t="shared" ca="1" si="83"/>
        <v>1</v>
      </c>
      <c r="BJ69" s="158" t="e">
        <f t="shared" si="84"/>
        <v>#N/A</v>
      </c>
      <c r="BK69" s="158" t="e">
        <f t="shared" si="85"/>
        <v>#N/A</v>
      </c>
      <c r="BL69" s="158" t="e">
        <f t="shared" si="86"/>
        <v>#N/A</v>
      </c>
      <c r="BM69" s="158" t="e">
        <f t="shared" si="87"/>
        <v>#N/A</v>
      </c>
      <c r="BN69" s="19"/>
      <c r="BQ69" s="4">
        <v>61</v>
      </c>
      <c r="BR69" s="4" t="e">
        <f t="shared" si="51"/>
        <v>#N/A</v>
      </c>
      <c r="BS69" s="4" t="e">
        <f t="shared" si="52"/>
        <v>#N/A</v>
      </c>
      <c r="BT69" s="4" t="e">
        <f t="shared" si="53"/>
        <v>#N/A</v>
      </c>
      <c r="BV69" s="4">
        <v>61</v>
      </c>
      <c r="BW69" s="4" t="e">
        <f t="shared" si="54"/>
        <v>#N/A</v>
      </c>
      <c r="BX69" s="4" t="e">
        <f t="shared" si="55"/>
        <v>#N/A</v>
      </c>
      <c r="BZ69" s="4">
        <v>61</v>
      </c>
      <c r="CA69" s="4" t="e">
        <f t="shared" si="56"/>
        <v>#N/A</v>
      </c>
      <c r="CB69" s="4" t="e">
        <f t="shared" si="57"/>
        <v>#N/A</v>
      </c>
      <c r="CC69" s="4" t="e">
        <f t="shared" si="58"/>
        <v>#N/A</v>
      </c>
      <c r="CD69" s="4" t="e">
        <f t="shared" si="59"/>
        <v>#N/A</v>
      </c>
      <c r="CG69" s="4">
        <v>61</v>
      </c>
      <c r="CH69" s="4" t="e">
        <f t="shared" si="88"/>
        <v>#N/A</v>
      </c>
      <c r="CI69" s="4" t="e">
        <f t="shared" si="89"/>
        <v>#N/A</v>
      </c>
      <c r="CJ69" s="4" t="e">
        <f t="shared" si="90"/>
        <v>#N/A</v>
      </c>
      <c r="CL69">
        <f t="shared" si="96"/>
        <v>0</v>
      </c>
      <c r="CM69">
        <f t="shared" si="97"/>
        <v>0</v>
      </c>
    </row>
    <row r="70" spans="2:91" ht="15.75" thickBot="1" x14ac:dyDescent="0.3">
      <c r="B70">
        <f t="shared" ref="B70:B101" si="98">IF(ISERROR(F70),0,C70)</f>
        <v>0</v>
      </c>
      <c r="C70" s="16">
        <v>62</v>
      </c>
      <c r="D70" s="15" t="str">
        <f>IF('Front sheet'!$I15="","",'Front sheet'!$I15)</f>
        <v/>
      </c>
      <c r="E70" s="149" t="e">
        <f>IF('Front sheet'!K15="",NA(),'Front sheet'!K15)</f>
        <v>#N/A</v>
      </c>
      <c r="F70" s="196" t="e">
        <f>IF('Front sheet'!K15="",NA(),'Front sheet'!J15/'Front sheet'!K15)</f>
        <v>#N/A</v>
      </c>
      <c r="G70" s="205">
        <f t="shared" ca="1" si="69"/>
        <v>0.87525423728813556</v>
      </c>
      <c r="H70" s="201" t="e">
        <f t="shared" ca="1" si="33"/>
        <v>#N/A</v>
      </c>
      <c r="I70" s="157" t="e">
        <f t="shared" ca="1" si="34"/>
        <v>#N/A</v>
      </c>
      <c r="J70" s="151" t="e">
        <f>IF('Front sheet'!K15="",NA(),'Front sheet'!J15)</f>
        <v>#N/A</v>
      </c>
      <c r="K70" s="10" t="str">
        <f t="shared" si="70"/>
        <v/>
      </c>
      <c r="L70" s="9" t="e">
        <f t="shared" ca="1" si="71"/>
        <v>#N/A</v>
      </c>
      <c r="M70" s="8" t="e">
        <f t="shared" ca="1" si="72"/>
        <v>#N/A</v>
      </c>
      <c r="N70" t="e">
        <f t="shared" ca="1" si="73"/>
        <v>#N/A</v>
      </c>
      <c r="O70" s="8" t="e">
        <f t="shared" ca="1" si="60"/>
        <v>#N/A</v>
      </c>
      <c r="P70" t="e">
        <f t="shared" ca="1" si="74"/>
        <v>#N/A</v>
      </c>
      <c r="Q70" s="8">
        <f>IF(ISERROR($F70),0,IF($F70&gt;$H70,MAX($Q$8:Q69)+1,0))</f>
        <v>0</v>
      </c>
      <c r="R70" s="8">
        <f>IF(ISERROR($F70),0,IF($F70&lt;$I70,MAX($R$8:R69)+1,0))</f>
        <v>0</v>
      </c>
      <c r="T70" s="8">
        <f t="shared" si="75"/>
        <v>0</v>
      </c>
      <c r="U70" s="8">
        <f t="shared" ca="1" si="37"/>
        <v>0</v>
      </c>
      <c r="W70" s="8">
        <f t="shared" si="76"/>
        <v>0</v>
      </c>
      <c r="X70" s="8">
        <f t="shared" ca="1" si="38"/>
        <v>0</v>
      </c>
      <c r="Z70" s="8">
        <f t="shared" si="77"/>
        <v>0</v>
      </c>
      <c r="AA70" s="8">
        <f t="shared" si="39"/>
        <v>0</v>
      </c>
      <c r="AC70" s="8">
        <f t="shared" si="78"/>
        <v>0</v>
      </c>
      <c r="AD70" s="8">
        <f t="shared" si="40"/>
        <v>0</v>
      </c>
      <c r="AF70" s="8">
        <f t="shared" si="41"/>
        <v>0</v>
      </c>
      <c r="AG70" s="8">
        <f t="shared" si="42"/>
        <v>0</v>
      </c>
      <c r="AH70" s="8">
        <f t="shared" si="43"/>
        <v>0</v>
      </c>
      <c r="AI70" s="8">
        <f t="shared" si="44"/>
        <v>0</v>
      </c>
      <c r="AK70" s="11" t="e">
        <f t="shared" si="12"/>
        <v>#N/A</v>
      </c>
      <c r="AL70" s="8"/>
      <c r="AN70" s="8"/>
      <c r="AO70" s="8"/>
      <c r="AP70" s="8" t="e">
        <f>IF(C70&lt;=$E$3,IF(OR('Front sheet'!$Q$3="",'Front sheet'!$Q$3=0),NA(),'Front sheet'!$Q$3),NA())</f>
        <v>#N/A</v>
      </c>
      <c r="AQ70" s="8" t="e">
        <f t="shared" ca="1" si="45"/>
        <v>#N/A</v>
      </c>
      <c r="AR70" s="8" t="e">
        <f t="shared" ca="1" si="46"/>
        <v>#N/A</v>
      </c>
      <c r="AS70" s="8" t="e">
        <f t="shared" ca="1" si="47"/>
        <v>#N/A</v>
      </c>
      <c r="AT70" s="8" t="e">
        <f t="shared" ca="1" si="48"/>
        <v>#N/A</v>
      </c>
      <c r="AU70" s="8" t="e">
        <f t="shared" si="49"/>
        <v>#N/A</v>
      </c>
      <c r="AV70" s="8" t="e">
        <f t="shared" ca="1" si="50"/>
        <v>#N/A</v>
      </c>
      <c r="AX70" s="7" t="str">
        <f t="shared" si="79"/>
        <v/>
      </c>
      <c r="AY70" s="2" t="str">
        <f t="shared" si="80"/>
        <v/>
      </c>
      <c r="BA70" s="2">
        <v>62</v>
      </c>
      <c r="BB70">
        <f t="shared" ca="1" si="81"/>
        <v>3</v>
      </c>
      <c r="BC70" s="14" t="str">
        <f t="shared" si="82"/>
        <v/>
      </c>
      <c r="BD70" s="5" t="e">
        <f t="shared" si="91"/>
        <v>#N/A</v>
      </c>
      <c r="BE70" s="5" t="e">
        <f t="shared" si="92"/>
        <v>#N/A</v>
      </c>
      <c r="BF70" s="5" t="e">
        <f t="shared" si="93"/>
        <v>#N/A</v>
      </c>
      <c r="BG70" s="5" t="e">
        <f t="shared" si="94"/>
        <v>#N/A</v>
      </c>
      <c r="BH70" s="5" t="e">
        <f t="shared" si="95"/>
        <v>#N/A</v>
      </c>
      <c r="BI70">
        <f t="shared" ca="1" si="83"/>
        <v>1</v>
      </c>
      <c r="BJ70" s="158" t="e">
        <f t="shared" si="84"/>
        <v>#N/A</v>
      </c>
      <c r="BK70" s="158" t="e">
        <f t="shared" si="85"/>
        <v>#N/A</v>
      </c>
      <c r="BL70" s="158" t="e">
        <f t="shared" si="86"/>
        <v>#N/A</v>
      </c>
      <c r="BM70" s="158" t="e">
        <f t="shared" si="87"/>
        <v>#N/A</v>
      </c>
      <c r="BN70" s="19"/>
      <c r="BQ70" s="4">
        <v>62</v>
      </c>
      <c r="BR70" s="4" t="e">
        <f t="shared" si="51"/>
        <v>#N/A</v>
      </c>
      <c r="BS70" s="4" t="e">
        <f t="shared" si="52"/>
        <v>#N/A</v>
      </c>
      <c r="BT70" s="4" t="e">
        <f t="shared" si="53"/>
        <v>#N/A</v>
      </c>
      <c r="BV70" s="4">
        <v>62</v>
      </c>
      <c r="BW70" s="4" t="e">
        <f t="shared" si="54"/>
        <v>#N/A</v>
      </c>
      <c r="BX70" s="4" t="e">
        <f t="shared" si="55"/>
        <v>#N/A</v>
      </c>
      <c r="BZ70" s="4">
        <v>62</v>
      </c>
      <c r="CA70" s="4" t="e">
        <f t="shared" si="56"/>
        <v>#N/A</v>
      </c>
      <c r="CB70" s="4" t="e">
        <f t="shared" si="57"/>
        <v>#N/A</v>
      </c>
      <c r="CC70" s="4" t="e">
        <f t="shared" si="58"/>
        <v>#N/A</v>
      </c>
      <c r="CD70" s="4" t="e">
        <f t="shared" si="59"/>
        <v>#N/A</v>
      </c>
      <c r="CG70" s="4">
        <v>62</v>
      </c>
      <c r="CH70" s="4" t="e">
        <f t="shared" si="88"/>
        <v>#N/A</v>
      </c>
      <c r="CI70" s="4" t="e">
        <f t="shared" si="89"/>
        <v>#N/A</v>
      </c>
      <c r="CJ70" s="4" t="e">
        <f t="shared" si="90"/>
        <v>#N/A</v>
      </c>
      <c r="CL70">
        <f t="shared" si="96"/>
        <v>0</v>
      </c>
      <c r="CM70">
        <f t="shared" si="97"/>
        <v>0</v>
      </c>
    </row>
    <row r="71" spans="2:91" ht="15.75" thickBot="1" x14ac:dyDescent="0.3">
      <c r="B71">
        <f t="shared" si="98"/>
        <v>0</v>
      </c>
      <c r="C71" s="13">
        <v>63</v>
      </c>
      <c r="D71" s="12" t="str">
        <f>IF('Front sheet'!$I16="","",'Front sheet'!$I16)</f>
        <v/>
      </c>
      <c r="E71" s="149" t="e">
        <f>IF('Front sheet'!K16="",NA(),'Front sheet'!K16)</f>
        <v>#N/A</v>
      </c>
      <c r="F71" s="197" t="e">
        <f>IF('Front sheet'!K16="",NA(),'Front sheet'!J16/'Front sheet'!K16)</f>
        <v>#N/A</v>
      </c>
      <c r="G71" s="207">
        <f t="shared" ca="1" si="69"/>
        <v>0.87525423728813556</v>
      </c>
      <c r="H71" s="202" t="e">
        <f t="shared" ca="1" si="33"/>
        <v>#N/A</v>
      </c>
      <c r="I71" s="193" t="e">
        <f t="shared" ca="1" si="34"/>
        <v>#N/A</v>
      </c>
      <c r="J71" s="153" t="e">
        <f>IF('Front sheet'!K16="",NA(),'Front sheet'!J16)</f>
        <v>#N/A</v>
      </c>
      <c r="K71" s="10" t="str">
        <f t="shared" si="70"/>
        <v/>
      </c>
      <c r="L71" s="9" t="e">
        <f t="shared" ca="1" si="71"/>
        <v>#N/A</v>
      </c>
      <c r="M71" s="8" t="e">
        <f t="shared" ca="1" si="72"/>
        <v>#N/A</v>
      </c>
      <c r="N71" t="e">
        <f t="shared" ca="1" si="73"/>
        <v>#N/A</v>
      </c>
      <c r="O71" s="8" t="e">
        <f t="shared" ca="1" si="60"/>
        <v>#N/A</v>
      </c>
      <c r="P71" t="e">
        <f t="shared" ca="1" si="74"/>
        <v>#N/A</v>
      </c>
      <c r="Q71" s="8">
        <f>IF(ISERROR($F71),0,IF($F71&gt;$H71,MAX($Q$8:Q70)+1,0))</f>
        <v>0</v>
      </c>
      <c r="R71" s="8">
        <f>IF(ISERROR($F71),0,IF($F71&lt;$I71,MAX($R$8:R70)+1,0))</f>
        <v>0</v>
      </c>
      <c r="T71" s="8">
        <f t="shared" si="75"/>
        <v>0</v>
      </c>
      <c r="U71" s="8">
        <f t="shared" ca="1" si="37"/>
        <v>0</v>
      </c>
      <c r="W71" s="8">
        <f t="shared" si="76"/>
        <v>0</v>
      </c>
      <c r="X71" s="8">
        <f t="shared" ca="1" si="38"/>
        <v>0</v>
      </c>
      <c r="Z71" s="8">
        <f t="shared" si="77"/>
        <v>0</v>
      </c>
      <c r="AA71" s="8">
        <f t="shared" si="39"/>
        <v>0</v>
      </c>
      <c r="AC71" s="8">
        <f t="shared" si="78"/>
        <v>0</v>
      </c>
      <c r="AD71" s="8">
        <f t="shared" si="40"/>
        <v>0</v>
      </c>
      <c r="AF71" s="8">
        <f t="shared" si="41"/>
        <v>0</v>
      </c>
      <c r="AG71" s="8">
        <f t="shared" si="42"/>
        <v>0</v>
      </c>
      <c r="AH71" s="8">
        <f t="shared" si="43"/>
        <v>0</v>
      </c>
      <c r="AI71" s="8">
        <f t="shared" si="44"/>
        <v>0</v>
      </c>
      <c r="AK71" s="11" t="e">
        <f t="shared" si="12"/>
        <v>#N/A</v>
      </c>
      <c r="AL71" s="8"/>
      <c r="AN71" s="8"/>
      <c r="AO71" s="8"/>
      <c r="AP71" s="8" t="e">
        <f>IF(C71&lt;=$E$3,IF(OR('Front sheet'!$Q$3="",'Front sheet'!$Q$3=0),NA(),'Front sheet'!$Q$3),NA())</f>
        <v>#N/A</v>
      </c>
      <c r="AQ71" s="8" t="e">
        <f t="shared" ca="1" si="45"/>
        <v>#N/A</v>
      </c>
      <c r="AR71" s="8" t="e">
        <f t="shared" ca="1" si="46"/>
        <v>#N/A</v>
      </c>
      <c r="AS71" s="8" t="e">
        <f t="shared" ca="1" si="47"/>
        <v>#N/A</v>
      </c>
      <c r="AT71" s="8" t="e">
        <f t="shared" ca="1" si="48"/>
        <v>#N/A</v>
      </c>
      <c r="AU71" s="8" t="e">
        <f t="shared" si="49"/>
        <v>#N/A</v>
      </c>
      <c r="AV71" s="8" t="e">
        <f t="shared" ca="1" si="50"/>
        <v>#N/A</v>
      </c>
      <c r="AX71" s="7" t="str">
        <f t="shared" si="79"/>
        <v/>
      </c>
      <c r="AY71" s="2" t="str">
        <f t="shared" si="80"/>
        <v/>
      </c>
      <c r="BA71" s="2">
        <v>63</v>
      </c>
      <c r="BB71">
        <f t="shared" ca="1" si="81"/>
        <v>3</v>
      </c>
      <c r="BC71" s="14" t="str">
        <f t="shared" si="82"/>
        <v/>
      </c>
      <c r="BD71" s="5" t="e">
        <f t="shared" si="91"/>
        <v>#N/A</v>
      </c>
      <c r="BE71" s="5" t="e">
        <f t="shared" si="92"/>
        <v>#N/A</v>
      </c>
      <c r="BF71" s="5" t="e">
        <f t="shared" si="93"/>
        <v>#N/A</v>
      </c>
      <c r="BG71" s="5" t="e">
        <f t="shared" si="94"/>
        <v>#N/A</v>
      </c>
      <c r="BH71" s="5" t="e">
        <f t="shared" si="95"/>
        <v>#N/A</v>
      </c>
      <c r="BI71">
        <f t="shared" ca="1" si="83"/>
        <v>1</v>
      </c>
      <c r="BJ71" s="158" t="e">
        <f t="shared" si="84"/>
        <v>#N/A</v>
      </c>
      <c r="BK71" s="158" t="e">
        <f t="shared" si="85"/>
        <v>#N/A</v>
      </c>
      <c r="BL71" s="158" t="e">
        <f t="shared" si="86"/>
        <v>#N/A</v>
      </c>
      <c r="BM71" s="158" t="e">
        <f t="shared" si="87"/>
        <v>#N/A</v>
      </c>
      <c r="BN71" s="19"/>
      <c r="BQ71" s="4">
        <v>63</v>
      </c>
      <c r="BR71" s="4" t="e">
        <f t="shared" si="51"/>
        <v>#N/A</v>
      </c>
      <c r="BS71" s="4" t="e">
        <f t="shared" si="52"/>
        <v>#N/A</v>
      </c>
      <c r="BT71" s="4" t="e">
        <f t="shared" si="53"/>
        <v>#N/A</v>
      </c>
      <c r="BV71" s="4">
        <v>63</v>
      </c>
      <c r="BW71" s="4" t="e">
        <f t="shared" si="54"/>
        <v>#N/A</v>
      </c>
      <c r="BX71" s="4" t="e">
        <f t="shared" si="55"/>
        <v>#N/A</v>
      </c>
      <c r="BZ71" s="4">
        <v>63</v>
      </c>
      <c r="CA71" s="4" t="e">
        <f t="shared" si="56"/>
        <v>#N/A</v>
      </c>
      <c r="CB71" s="4" t="e">
        <f t="shared" si="57"/>
        <v>#N/A</v>
      </c>
      <c r="CC71" s="4" t="e">
        <f t="shared" si="58"/>
        <v>#N/A</v>
      </c>
      <c r="CD71" s="4" t="e">
        <f t="shared" si="59"/>
        <v>#N/A</v>
      </c>
      <c r="CG71" s="4">
        <v>63</v>
      </c>
      <c r="CH71" s="4" t="e">
        <f t="shared" si="88"/>
        <v>#N/A</v>
      </c>
      <c r="CI71" s="4" t="e">
        <f t="shared" si="89"/>
        <v>#N/A</v>
      </c>
      <c r="CJ71" s="4" t="e">
        <f t="shared" si="90"/>
        <v>#N/A</v>
      </c>
      <c r="CL71">
        <f t="shared" si="96"/>
        <v>0</v>
      </c>
      <c r="CM71">
        <f t="shared" si="97"/>
        <v>0</v>
      </c>
    </row>
    <row r="72" spans="2:91" ht="15.75" thickBot="1" x14ac:dyDescent="0.3">
      <c r="B72">
        <f t="shared" si="98"/>
        <v>0</v>
      </c>
      <c r="C72" s="18">
        <v>64</v>
      </c>
      <c r="D72" s="17" t="str">
        <f>IF('Front sheet'!$I17="","",'Front sheet'!$I17)</f>
        <v/>
      </c>
      <c r="E72" s="149" t="e">
        <f>IF('Front sheet'!K17="",NA(),'Front sheet'!K17)</f>
        <v>#N/A</v>
      </c>
      <c r="F72" s="198" t="e">
        <f>IF('Front sheet'!K17="",NA(),'Front sheet'!J17/'Front sheet'!K17)</f>
        <v>#N/A</v>
      </c>
      <c r="G72" s="205">
        <f t="shared" ca="1" si="69"/>
        <v>0.87525423728813556</v>
      </c>
      <c r="H72" s="203" t="e">
        <f t="shared" ca="1" si="33"/>
        <v>#N/A</v>
      </c>
      <c r="I72" s="183" t="e">
        <f t="shared" ca="1" si="34"/>
        <v>#N/A</v>
      </c>
      <c r="J72" s="184" t="e">
        <f>IF('Front sheet'!K17="",NA(),'Front sheet'!J17)</f>
        <v>#N/A</v>
      </c>
      <c r="K72" s="10" t="str">
        <f t="shared" si="70"/>
        <v/>
      </c>
      <c r="L72" s="9" t="e">
        <f t="shared" ca="1" si="71"/>
        <v>#N/A</v>
      </c>
      <c r="M72" s="8" t="e">
        <f t="shared" ca="1" si="72"/>
        <v>#N/A</v>
      </c>
      <c r="N72" t="e">
        <f t="shared" ca="1" si="73"/>
        <v>#N/A</v>
      </c>
      <c r="O72" s="8" t="e">
        <f t="shared" ca="1" si="60"/>
        <v>#N/A</v>
      </c>
      <c r="P72" t="e">
        <f t="shared" ca="1" si="74"/>
        <v>#N/A</v>
      </c>
      <c r="Q72" s="8">
        <f>IF(ISERROR($F72),0,IF($F72&gt;$H72,MAX($Q$8:Q71)+1,0))</f>
        <v>0</v>
      </c>
      <c r="R72" s="8">
        <f>IF(ISERROR($F72),0,IF($F72&lt;$I72,MAX($R$8:R71)+1,0))</f>
        <v>0</v>
      </c>
      <c r="T72" s="8">
        <f t="shared" si="75"/>
        <v>0</v>
      </c>
      <c r="U72" s="8">
        <f t="shared" ca="1" si="37"/>
        <v>0</v>
      </c>
      <c r="W72" s="8">
        <f t="shared" si="76"/>
        <v>0</v>
      </c>
      <c r="X72" s="8">
        <f t="shared" ca="1" si="38"/>
        <v>0</v>
      </c>
      <c r="Z72" s="8">
        <f t="shared" si="77"/>
        <v>0</v>
      </c>
      <c r="AA72" s="8">
        <f t="shared" si="39"/>
        <v>0</v>
      </c>
      <c r="AC72" s="8">
        <f t="shared" si="78"/>
        <v>0</v>
      </c>
      <c r="AD72" s="8">
        <f t="shared" si="40"/>
        <v>0</v>
      </c>
      <c r="AF72" s="8">
        <f t="shared" si="41"/>
        <v>0</v>
      </c>
      <c r="AG72" s="8">
        <f t="shared" si="42"/>
        <v>0</v>
      </c>
      <c r="AH72" s="8">
        <f t="shared" si="43"/>
        <v>0</v>
      </c>
      <c r="AI72" s="8">
        <f t="shared" si="44"/>
        <v>0</v>
      </c>
      <c r="AK72" s="11" t="e">
        <f t="shared" si="12"/>
        <v>#N/A</v>
      </c>
      <c r="AL72" s="8"/>
      <c r="AN72" s="8"/>
      <c r="AO72" s="8"/>
      <c r="AP72" s="8" t="e">
        <f>IF(C72&lt;=$E$3,IF(OR('Front sheet'!$Q$3="",'Front sheet'!$Q$3=0),NA(),'Front sheet'!$Q$3),NA())</f>
        <v>#N/A</v>
      </c>
      <c r="AQ72" s="8" t="e">
        <f t="shared" ca="1" si="45"/>
        <v>#N/A</v>
      </c>
      <c r="AR72" s="8" t="e">
        <f t="shared" ca="1" si="46"/>
        <v>#N/A</v>
      </c>
      <c r="AS72" s="8" t="e">
        <f t="shared" ca="1" si="47"/>
        <v>#N/A</v>
      </c>
      <c r="AT72" s="8" t="e">
        <f t="shared" ca="1" si="48"/>
        <v>#N/A</v>
      </c>
      <c r="AU72" s="8" t="e">
        <f t="shared" si="49"/>
        <v>#N/A</v>
      </c>
      <c r="AV72" s="8" t="e">
        <f t="shared" ca="1" si="50"/>
        <v>#N/A</v>
      </c>
      <c r="AX72" s="7" t="str">
        <f t="shared" si="79"/>
        <v/>
      </c>
      <c r="AY72" s="2" t="str">
        <f t="shared" si="80"/>
        <v/>
      </c>
      <c r="BA72" s="2">
        <v>64</v>
      </c>
      <c r="BB72">
        <f t="shared" ca="1" si="81"/>
        <v>3</v>
      </c>
      <c r="BC72" s="14" t="str">
        <f t="shared" si="82"/>
        <v/>
      </c>
      <c r="BD72" s="5" t="e">
        <f t="shared" si="91"/>
        <v>#N/A</v>
      </c>
      <c r="BE72" s="5" t="e">
        <f t="shared" si="92"/>
        <v>#N/A</v>
      </c>
      <c r="BF72" s="5" t="e">
        <f t="shared" si="93"/>
        <v>#N/A</v>
      </c>
      <c r="BG72" s="5" t="e">
        <f t="shared" si="94"/>
        <v>#N/A</v>
      </c>
      <c r="BH72" s="5" t="e">
        <f t="shared" si="95"/>
        <v>#N/A</v>
      </c>
      <c r="BI72">
        <f t="shared" ca="1" si="83"/>
        <v>1</v>
      </c>
      <c r="BJ72" s="158" t="e">
        <f t="shared" si="84"/>
        <v>#N/A</v>
      </c>
      <c r="BK72" s="158" t="e">
        <f t="shared" si="85"/>
        <v>#N/A</v>
      </c>
      <c r="BL72" s="158" t="e">
        <f t="shared" si="86"/>
        <v>#N/A</v>
      </c>
      <c r="BM72" s="158" t="e">
        <f t="shared" si="87"/>
        <v>#N/A</v>
      </c>
      <c r="BN72" s="19"/>
      <c r="BQ72" s="4">
        <v>64</v>
      </c>
      <c r="BR72" s="4" t="e">
        <f t="shared" si="51"/>
        <v>#N/A</v>
      </c>
      <c r="BS72" s="4" t="e">
        <f t="shared" si="52"/>
        <v>#N/A</v>
      </c>
      <c r="BT72" s="4" t="e">
        <f t="shared" si="53"/>
        <v>#N/A</v>
      </c>
      <c r="BV72" s="4">
        <v>64</v>
      </c>
      <c r="BW72" s="4" t="e">
        <f t="shared" si="54"/>
        <v>#N/A</v>
      </c>
      <c r="BX72" s="4" t="e">
        <f t="shared" si="55"/>
        <v>#N/A</v>
      </c>
      <c r="BZ72" s="4">
        <v>64</v>
      </c>
      <c r="CA72" s="4" t="e">
        <f t="shared" si="56"/>
        <v>#N/A</v>
      </c>
      <c r="CB72" s="4" t="e">
        <f t="shared" si="57"/>
        <v>#N/A</v>
      </c>
      <c r="CC72" s="4" t="e">
        <f t="shared" si="58"/>
        <v>#N/A</v>
      </c>
      <c r="CD72" s="4" t="e">
        <f t="shared" si="59"/>
        <v>#N/A</v>
      </c>
      <c r="CG72" s="4">
        <v>64</v>
      </c>
      <c r="CH72" s="4" t="e">
        <f t="shared" si="88"/>
        <v>#N/A</v>
      </c>
      <c r="CI72" s="4" t="e">
        <f t="shared" si="89"/>
        <v>#N/A</v>
      </c>
      <c r="CJ72" s="4" t="e">
        <f t="shared" si="90"/>
        <v>#N/A</v>
      </c>
      <c r="CL72">
        <f t="shared" si="96"/>
        <v>0</v>
      </c>
      <c r="CM72">
        <f t="shared" si="97"/>
        <v>0</v>
      </c>
    </row>
    <row r="73" spans="2:91" ht="15.75" thickBot="1" x14ac:dyDescent="0.3">
      <c r="B73">
        <f t="shared" si="98"/>
        <v>0</v>
      </c>
      <c r="C73" s="16">
        <v>65</v>
      </c>
      <c r="D73" s="15" t="str">
        <f>IF('Front sheet'!$I18="","",'Front sheet'!$I18)</f>
        <v/>
      </c>
      <c r="E73" s="149" t="e">
        <f>IF('Front sheet'!K18="",NA(),'Front sheet'!K18)</f>
        <v>#N/A</v>
      </c>
      <c r="F73" s="196" t="e">
        <f>IF('Front sheet'!K18="",NA(),'Front sheet'!J18/'Front sheet'!K18)</f>
        <v>#N/A</v>
      </c>
      <c r="G73" s="205">
        <f t="shared" ref="G73:G104" ca="1" si="99">IF($E$4=0,SUM(Tally0)/SUM(Denom0),IF($B73&lt;=$F$3,SUM(Tally)/SUM(Denom),IF(B73&lt;=$F$4+$F$3,SUM(Tally2)/SUM(Denom2),IF(B73&lt;=$F$3+$F$4+$F$5,SUM(Tally3)/SUM(Denom3),IF(B73&lt;=$F$3+$F$4+$F$5+$F$6,SUM(Tally4)/SUM(Denom4),IF(B73&lt;=$F$3+$F$4+$F$5+$F$6+$F$7,SUM(Tally5)/SUM(Denom5),NA()))))))</f>
        <v>0.87525423728813556</v>
      </c>
      <c r="H73" s="201" t="e">
        <f t="shared" ca="1" si="33"/>
        <v>#N/A</v>
      </c>
      <c r="I73" s="157" t="e">
        <f t="shared" ca="1" si="34"/>
        <v>#N/A</v>
      </c>
      <c r="J73" s="151" t="e">
        <f>IF('Front sheet'!K18="",NA(),'Front sheet'!J18)</f>
        <v>#N/A</v>
      </c>
      <c r="K73" s="10" t="str">
        <f t="shared" ref="K73:K104" si="100">D73</f>
        <v/>
      </c>
      <c r="L73" s="9" t="e">
        <f t="shared" ref="L73:L104" ca="1" si="101">SQRT((G73*(1-G73)/E73))</f>
        <v>#N/A</v>
      </c>
      <c r="M73" s="8" t="e">
        <f t="shared" ref="M73:M104" ca="1" si="102">L73*3</f>
        <v>#N/A</v>
      </c>
      <c r="N73" t="e">
        <f t="shared" ref="N73:N104" ca="1" si="103">((F73-G73))/L73</f>
        <v>#N/A</v>
      </c>
      <c r="O73" s="8" t="e">
        <f t="shared" ca="1" si="60"/>
        <v>#N/A</v>
      </c>
      <c r="P73" t="e">
        <f t="shared" ref="P73:P104" ca="1" si="104">3*(AVERAGE(OFFSET($O$10,0,0,$E$3-1))/1.128)*L73</f>
        <v>#N/A</v>
      </c>
      <c r="Q73" s="8">
        <f>IF(ISERROR($F73),0,IF($F73&gt;$H73,MAX($Q$8:Q72)+1,0))</f>
        <v>0</v>
      </c>
      <c r="R73" s="8">
        <f>IF(ISERROR($F73),0,IF($F73&lt;$I73,MAX($R$8:R72)+1,0))</f>
        <v>0</v>
      </c>
      <c r="T73" s="8">
        <f t="shared" ref="T73:T104" si="105">IF(ISERROR(F73),0,IF(F73&gt;G73,1,0))</f>
        <v>0</v>
      </c>
      <c r="U73" s="8">
        <f t="shared" ca="1" si="37"/>
        <v>0</v>
      </c>
      <c r="W73" s="8">
        <f t="shared" ref="W73:W104" si="106">IF(ISERROR(F73),0,IF(F73&lt;G73,1,0))</f>
        <v>0</v>
      </c>
      <c r="X73" s="8">
        <f t="shared" ca="1" si="38"/>
        <v>0</v>
      </c>
      <c r="Z73" s="8">
        <f t="shared" ref="Z73:Z104" si="107">IF(OR(ISERROR(F73),ISERROR(F72)),0,IF(F73=F72,0.5,IF(F73&gt;F72,1,0)))</f>
        <v>0</v>
      </c>
      <c r="AA73" s="8">
        <f t="shared" si="39"/>
        <v>0</v>
      </c>
      <c r="AC73" s="8">
        <f t="shared" ref="AC73:AC104" si="108">IF(OR(ISERROR(F73),ISERROR(F72)),0,IF(F73=F72,0.5,IF(F73&lt;F72,1,0)))</f>
        <v>0</v>
      </c>
      <c r="AD73" s="8">
        <f t="shared" si="40"/>
        <v>0</v>
      </c>
      <c r="AF73" s="8">
        <f t="shared" si="41"/>
        <v>0</v>
      </c>
      <c r="AG73" s="8">
        <f t="shared" si="42"/>
        <v>0</v>
      </c>
      <c r="AH73" s="8">
        <f t="shared" si="43"/>
        <v>0</v>
      </c>
      <c r="AI73" s="8">
        <f t="shared" si="44"/>
        <v>0</v>
      </c>
      <c r="AK73" s="11" t="e">
        <f t="shared" ref="AK73:AK120" si="109">IF(F73="","",IF($E$4=0,1,IF(B73&lt;$E$4,1,IF($E$5=0,2,IF(B73&lt;$E$5,2,IF($E$6=0,3,IF(B73&lt;$E$6,3,IF($E$7=0,4,IF(B73&lt;$E$7,4,5)))))))))</f>
        <v>#N/A</v>
      </c>
      <c r="AL73" s="8"/>
      <c r="AN73" s="8"/>
      <c r="AO73" s="8"/>
      <c r="AP73" s="8" t="e">
        <f>IF(C73&lt;=$E$3,IF(OR('Front sheet'!$Q$3="",'Front sheet'!$Q$3=0),NA(),'Front sheet'!$Q$3),NA())</f>
        <v>#N/A</v>
      </c>
      <c r="AQ73" s="8" t="e">
        <f t="shared" ca="1" si="45"/>
        <v>#N/A</v>
      </c>
      <c r="AR73" s="8" t="e">
        <f t="shared" ca="1" si="46"/>
        <v>#N/A</v>
      </c>
      <c r="AS73" s="8" t="e">
        <f t="shared" ca="1" si="47"/>
        <v>#N/A</v>
      </c>
      <c r="AT73" s="8" t="e">
        <f t="shared" ca="1" si="48"/>
        <v>#N/A</v>
      </c>
      <c r="AU73" s="8" t="e">
        <f t="shared" ref="AU73:AU120" si="110">IF($AS$7="Neither",AV73,NA())</f>
        <v>#N/A</v>
      </c>
      <c r="AV73" s="8" t="e">
        <f t="shared" ca="1" si="50"/>
        <v>#N/A</v>
      </c>
      <c r="AX73" s="7" t="str">
        <f t="shared" ref="AX73:AX104" si="111">K73</f>
        <v/>
      </c>
      <c r="AY73" s="2" t="str">
        <f t="shared" ref="AY73:AY104" si="112">IFERROR(WEEKDAY(AX73),"")</f>
        <v/>
      </c>
      <c r="BA73" s="2">
        <v>65</v>
      </c>
      <c r="BB73">
        <f t="shared" ref="BB73:BB104" ca="1" si="113">IF($BB$8="Yes","",IF(BC73=$BD$8,1,IF(BC73=$BE$8,2,IF(BC73=$BF$8,3,IF(BC73=$BG$8,4,IF(BC73=$BH$8,5,""))))))</f>
        <v>3</v>
      </c>
      <c r="BC73" s="14" t="str">
        <f t="shared" ref="BC73:BC104" si="114">D73</f>
        <v/>
      </c>
      <c r="BD73" s="5" t="e">
        <f t="shared" si="91"/>
        <v>#N/A</v>
      </c>
      <c r="BE73" s="5" t="e">
        <f t="shared" si="92"/>
        <v>#N/A</v>
      </c>
      <c r="BF73" s="5" t="e">
        <f t="shared" si="93"/>
        <v>#N/A</v>
      </c>
      <c r="BG73" s="5" t="e">
        <f t="shared" si="94"/>
        <v>#N/A</v>
      </c>
      <c r="BH73" s="5" t="e">
        <f t="shared" si="95"/>
        <v>#N/A</v>
      </c>
      <c r="BI73">
        <f t="shared" ref="BI73:BI104" ca="1" si="115">IF(BC73=$BJ$8,1,IF(BC73=$BK$8,2,IF(BC73=$BL$8,3,IF(BC73=$BM$8,4,""))))</f>
        <v>1</v>
      </c>
      <c r="BJ73" s="158" t="e">
        <f t="shared" ref="BJ73:BJ104" si="116">IF($BD$6=0,#N/A,IF(BI73=BJ$7,$F73-$BC$2,#N/A))</f>
        <v>#N/A</v>
      </c>
      <c r="BK73" s="158" t="e">
        <f t="shared" ref="BK73:BK104" si="117">IF($BE$6=0,#N/A,IF($BI73=BK$7,$F73-$BC$2,#N/A))</f>
        <v>#N/A</v>
      </c>
      <c r="BL73" s="158" t="e">
        <f t="shared" ref="BL73:BL104" si="118">IF($BF$6=0,#N/A,IF($BI73=BL$7,$F73-$BC$2,#N/A))</f>
        <v>#N/A</v>
      </c>
      <c r="BM73" s="158" t="e">
        <f t="shared" ref="BM73:BM104" si="119">IF($BG$6=0,#N/A,IF($BI73=BM$7,$F73-$BC$2,#N/A))</f>
        <v>#N/A</v>
      </c>
      <c r="BN73" s="19"/>
      <c r="BQ73" s="4">
        <v>65</v>
      </c>
      <c r="BR73" s="4" t="e">
        <f t="shared" si="51"/>
        <v>#N/A</v>
      </c>
      <c r="BS73" s="4" t="e">
        <f t="shared" si="52"/>
        <v>#N/A</v>
      </c>
      <c r="BT73" s="4" t="e">
        <f t="shared" si="53"/>
        <v>#N/A</v>
      </c>
      <c r="BV73" s="4">
        <v>65</v>
      </c>
      <c r="BW73" s="4" t="e">
        <f t="shared" si="54"/>
        <v>#N/A</v>
      </c>
      <c r="BX73" s="4" t="e">
        <f t="shared" si="55"/>
        <v>#N/A</v>
      </c>
      <c r="BZ73" s="4">
        <v>65</v>
      </c>
      <c r="CA73" s="4" t="e">
        <f t="shared" si="56"/>
        <v>#N/A</v>
      </c>
      <c r="CB73" s="4" t="e">
        <f t="shared" si="57"/>
        <v>#N/A</v>
      </c>
      <c r="CC73" s="4" t="e">
        <f t="shared" si="58"/>
        <v>#N/A</v>
      </c>
      <c r="CD73" s="4" t="e">
        <f t="shared" si="59"/>
        <v>#N/A</v>
      </c>
      <c r="CG73" s="4">
        <v>65</v>
      </c>
      <c r="CH73" s="4" t="e">
        <f t="shared" ref="CH73:CH104" si="120">IF(CG73&lt;&gt;$E$3-$CH$6,NA(),IF($CG$6&lt;&gt;"Pass",NA(),$BE$2+$BC$2))</f>
        <v>#N/A</v>
      </c>
      <c r="CI73" s="4" t="e">
        <f t="shared" ref="CI73:CI104" si="121">IF(CG73&lt;&gt;$E$3-$CH$6,NA(),IF($CG$6&lt;&gt;"Fail",NA(),$BE$2+$BC$2))</f>
        <v>#N/A</v>
      </c>
      <c r="CJ73" s="4" t="e">
        <f t="shared" ref="CJ73:CJ104" si="122">IF(CG73&lt;&gt;$E$3-$CH$6,NA(),IF($CG$6&lt;&gt;"Flip",NA(),$BE$2+$BC$2))</f>
        <v>#N/A</v>
      </c>
      <c r="CL73">
        <f t="shared" si="96"/>
        <v>0</v>
      </c>
      <c r="CM73">
        <f t="shared" si="97"/>
        <v>0</v>
      </c>
    </row>
    <row r="74" spans="2:91" ht="15.75" thickBot="1" x14ac:dyDescent="0.3">
      <c r="B74">
        <f t="shared" si="98"/>
        <v>0</v>
      </c>
      <c r="C74" s="16">
        <v>66</v>
      </c>
      <c r="D74" s="15" t="str">
        <f>IF('Front sheet'!$I19="","",'Front sheet'!$I19)</f>
        <v/>
      </c>
      <c r="E74" s="149" t="e">
        <f>IF('Front sheet'!K19="",NA(),'Front sheet'!K19)</f>
        <v>#N/A</v>
      </c>
      <c r="F74" s="196" t="e">
        <f>IF('Front sheet'!K19="",NA(),'Front sheet'!J19/'Front sheet'!K19)</f>
        <v>#N/A</v>
      </c>
      <c r="G74" s="205">
        <f t="shared" ca="1" si="99"/>
        <v>0.87525423728813556</v>
      </c>
      <c r="H74" s="201" t="e">
        <f t="shared" ref="H74:H120" ca="1" si="123">IF($C$1="Yes",IF($E$3&gt;=13,G74+P74,#N/A),IF($E$3&gt;=13,G74+M74,#N/A))</f>
        <v>#N/A</v>
      </c>
      <c r="I74" s="157" t="e">
        <f t="shared" ref="I74:I120" ca="1" si="124">IF($C$1="Yes",IF($E$3&gt;=13,G74-P74,#N/A),IF($E$3&gt;=13,G74-M74,#N/A))</f>
        <v>#N/A</v>
      </c>
      <c r="J74" s="151" t="e">
        <f>IF('Front sheet'!K19="",NA(),'Front sheet'!J19)</f>
        <v>#N/A</v>
      </c>
      <c r="K74" s="10" t="str">
        <f t="shared" si="100"/>
        <v/>
      </c>
      <c r="L74" s="9" t="e">
        <f t="shared" ca="1" si="101"/>
        <v>#N/A</v>
      </c>
      <c r="M74" s="8" t="e">
        <f t="shared" ca="1" si="102"/>
        <v>#N/A</v>
      </c>
      <c r="N74" t="e">
        <f t="shared" ca="1" si="103"/>
        <v>#N/A</v>
      </c>
      <c r="O74" s="8" t="e">
        <f t="shared" ca="1" si="60"/>
        <v>#N/A</v>
      </c>
      <c r="P74" t="e">
        <f t="shared" ca="1" si="104"/>
        <v>#N/A</v>
      </c>
      <c r="Q74" s="8">
        <f>IF(ISERROR($F74),0,IF($F74&gt;$H74,MAX($Q$8:Q73)+1,0))</f>
        <v>0</v>
      </c>
      <c r="R74" s="8">
        <f>IF(ISERROR($F74),0,IF($F74&lt;$I74,MAX($R$8:R73)+1,0))</f>
        <v>0</v>
      </c>
      <c r="T74" s="8">
        <f t="shared" si="105"/>
        <v>0</v>
      </c>
      <c r="U74" s="8">
        <f t="shared" ref="U74:U114" ca="1" si="125">IF(AND(U73=1,T74=1),1,IF(SUM(T74:T80)&gt;=7,1,0))</f>
        <v>0</v>
      </c>
      <c r="W74" s="8">
        <f t="shared" si="106"/>
        <v>0</v>
      </c>
      <c r="X74" s="8">
        <f t="shared" ref="X74:X114" ca="1" si="126">IF(AND(X73=1,W74=1),1,IF(SUM(W74:W80)&gt;=7,1,0))</f>
        <v>0</v>
      </c>
      <c r="Z74" s="8">
        <f t="shared" si="107"/>
        <v>0</v>
      </c>
      <c r="AA74" s="8">
        <f t="shared" ref="AA74:AA113" si="127">IF(AND(AA73&gt;0,Z74&gt;0),1,IF(SUM(Z75:Z80)&gt;=6,1,IF(MOD(SUM(Z75:Z80),1)&gt;0,IF(SUM(Z75:Z81)&gt;=6,1,0),0)))</f>
        <v>0</v>
      </c>
      <c r="AC74" s="8">
        <f t="shared" si="108"/>
        <v>0</v>
      </c>
      <c r="AD74" s="8">
        <f t="shared" ref="AD74:AD113" si="128">IF(AND(AD73&gt;0,AC74&gt;0),1,IF(SUM(AC75:AC80)&gt;=6,1,IF(MOD(SUM(AC75:AC80),1)&gt;0,IF(SUM(AC75:AC81)&gt;=6,1,0),0)))</f>
        <v>0</v>
      </c>
      <c r="AF74" s="8">
        <f t="shared" ref="AF74:AF120" si="129">IFERROR(IF(F74="",0,IF(AND(F74&lt;IF($C$1="Yes",G74-2*P74/3,G74-2*L74),F74&gt;I74),1,0)),0)</f>
        <v>0</v>
      </c>
      <c r="AG74" s="8">
        <f t="shared" ref="AG74:AG120" si="130">IF(AF74=0,0,IF(AND(AF74=1,SUM(AF72:AF74)&gt;=2),1,IF(AND(AF74=1,SUM(AF73:AF75)&gt;=2),1,IF(AND(AF74=1,SUM(AF74:AF76)&gt;=2),1,0))))</f>
        <v>0</v>
      </c>
      <c r="AH74" s="8">
        <f t="shared" ref="AH74:AH120" si="131">IFERROR(IF(F74="",0,IF(AND(F74&gt;IF($C$1="Yes",G74+(2*(P74/3)),G74+(2*L74)),F74&lt;H74),1,0)),0)</f>
        <v>0</v>
      </c>
      <c r="AI74" s="8">
        <f t="shared" ref="AI74:AI118" si="132">IF(AH74=0,0,IF(AND(AH74=1,SUM(AH72:AH74)&gt;=2),1,IF(AND(AH74=1,SUM(AH73:AH75)&gt;=2),1,IF(AND(AH74=1,SUM(AH74:AH76)&gt;=2),1,0))))</f>
        <v>0</v>
      </c>
      <c r="AK74" s="11" t="e">
        <f t="shared" si="109"/>
        <v>#N/A</v>
      </c>
      <c r="AL74" s="8"/>
      <c r="AN74" s="8"/>
      <c r="AO74" s="8"/>
      <c r="AP74" s="8" t="e">
        <f>IF(C74&lt;=$E$3,IF(OR('Front sheet'!$Q$3="",'Front sheet'!$Q$3=0),NA(),'Front sheet'!$Q$3),NA())</f>
        <v>#N/A</v>
      </c>
      <c r="AQ74" s="8" t="e">
        <f t="shared" ref="AQ74:AQ120" ca="1" si="133">IF($U$6=2,NA(),IF(AND(AA74=0,U74=0,Q74=0,AI74=0),#N/A,F74))</f>
        <v>#N/A</v>
      </c>
      <c r="AR74" s="8" t="e">
        <f t="shared" ref="AR74:AR120" ca="1" si="134">IF($U$6=2,NA(),IF(AND(AD74=0,X74=0,R74=0,AG74=0),#N/A,F74))</f>
        <v>#N/A</v>
      </c>
      <c r="AS74" s="8" t="e">
        <f t="shared" ref="AS74:AS120" ca="1" si="135">IF($AS$7="High is good",AR74,IF($AS$7="Low is good",AQ74,NA()))</f>
        <v>#N/A</v>
      </c>
      <c r="AT74" s="8" t="e">
        <f t="shared" ref="AT74:AT120" ca="1" si="136">IF($AS$7="High is good",AQ74,IF($AS$7="Low is good",AR74,NA()))</f>
        <v>#N/A</v>
      </c>
      <c r="AU74" s="8" t="e">
        <f t="shared" si="110"/>
        <v>#N/A</v>
      </c>
      <c r="AV74" s="8" t="e">
        <f t="shared" ref="AV74:AV120" ca="1" si="137">IF(AND(U74=0,R74=0,Q74=0,X74=0,X74=0,AA74=0,AD74=0,AG74=0,AI74=0),#N/A,F74)</f>
        <v>#N/A</v>
      </c>
      <c r="AX74" s="7" t="str">
        <f t="shared" si="111"/>
        <v/>
      </c>
      <c r="AY74" s="2" t="str">
        <f t="shared" si="112"/>
        <v/>
      </c>
      <c r="BA74" s="2">
        <v>66</v>
      </c>
      <c r="BB74">
        <f t="shared" ca="1" si="113"/>
        <v>3</v>
      </c>
      <c r="BC74" s="14" t="str">
        <f t="shared" si="114"/>
        <v/>
      </c>
      <c r="BD74" s="5" t="e">
        <f t="shared" si="91"/>
        <v>#N/A</v>
      </c>
      <c r="BE74" s="5" t="e">
        <f t="shared" si="92"/>
        <v>#N/A</v>
      </c>
      <c r="BF74" s="5" t="e">
        <f t="shared" si="93"/>
        <v>#N/A</v>
      </c>
      <c r="BG74" s="5" t="e">
        <f t="shared" si="94"/>
        <v>#N/A</v>
      </c>
      <c r="BH74" s="5" t="e">
        <f t="shared" si="95"/>
        <v>#N/A</v>
      </c>
      <c r="BI74">
        <f t="shared" ca="1" si="115"/>
        <v>1</v>
      </c>
      <c r="BJ74" s="158" t="e">
        <f t="shared" si="116"/>
        <v>#N/A</v>
      </c>
      <c r="BK74" s="158" t="e">
        <f t="shared" si="117"/>
        <v>#N/A</v>
      </c>
      <c r="BL74" s="158" t="e">
        <f t="shared" si="118"/>
        <v>#N/A</v>
      </c>
      <c r="BM74" s="158" t="e">
        <f t="shared" si="119"/>
        <v>#N/A</v>
      </c>
      <c r="BN74" s="19"/>
      <c r="BQ74" s="4">
        <v>66</v>
      </c>
      <c r="BR74" s="4" t="e">
        <f t="shared" ref="BR74:BR120" si="138">IF($BQ74&lt;&gt;$E$3,NA(),IF(AND(ISERROR($AS74),ISERROR($AT74)),$BE$2+$BC$2,NA()))</f>
        <v>#N/A</v>
      </c>
      <c r="BS74" s="4" t="e">
        <f t="shared" ref="BS74:BS120" si="139">IF(BQ74&lt;&gt;$E$3,NA(),IF($BQ$6&lt;&gt;1,NA(),IF(ISERROR(AS74),NA(),$BF$2+$BC$2)))</f>
        <v>#N/A</v>
      </c>
      <c r="BT74" s="4" t="e">
        <f t="shared" ref="BT74:BT120" si="140">IF(BQ74&lt;&gt;$E$3,NA(),IF($BQ$6&lt;&gt;1,NA(),IF(ISERROR(AR74),NA(),$BE$2+$BC$2)))</f>
        <v>#N/A</v>
      </c>
      <c r="BV74" s="4">
        <v>66</v>
      </c>
      <c r="BW74" s="4" t="e">
        <f t="shared" ref="BW74:BW120" si="141">IF(BQ74&lt;&gt;$E$3,NA(),IF($BQ$6=1,NA(),IF(ISERROR(AS74),NA(),$BE$2+$BC$2)))</f>
        <v>#N/A</v>
      </c>
      <c r="BX74" s="4" t="e">
        <f t="shared" ref="BX74:BX120" si="142">IF(BQ74&lt;&gt;$E$3,NA(),IF($BQ$6=1,NA(),IF(ISERROR(AR74),NA(),$BE$2+$BC$2)))</f>
        <v>#N/A</v>
      </c>
      <c r="BZ74" s="4">
        <v>66</v>
      </c>
      <c r="CA74" s="4" t="e">
        <f t="shared" ref="CA74:CA120" si="143">IF(BZ74&lt;&gt;$E$3,NA(),IF(OR(Q74&gt;=1,U74&gt;=1,AA74&gt;=1,AI74&gt;=1),1,NA()))</f>
        <v>#N/A</v>
      </c>
      <c r="CB74" s="4" t="e">
        <f t="shared" ref="CB74:CB120" si="144">IF(AND(BZ74&lt;&gt;$E$3,CA74&lt;&gt;1),NA(),IF(OR($BQ$6=1,$BQ$6=2),NA(),IF(ISERROR(AV74),NA(),$BE$2+$BC$2)))</f>
        <v>#N/A</v>
      </c>
      <c r="CC74" s="4" t="e">
        <f t="shared" ref="CC74:CC120" si="145">IF(BZ74&lt;&gt;$E$3,NA(),IF(OR(R74&gt;=1,X74&gt;=1,AD74&gt;=1,AG74&gt;=1),1,NA()))</f>
        <v>#N/A</v>
      </c>
      <c r="CD74" s="4" t="e">
        <f t="shared" ref="CD74:CD120" si="146">IF(AND(BZ74&lt;&gt;$E$3,CC74&lt;&gt;1),NA(),IF(OR($BQ$6=1,$BQ$6=2),NA(),IF(ISERROR(AW74),NA(),$BE$2+$BC$2)))</f>
        <v>#N/A</v>
      </c>
      <c r="CG74" s="4">
        <v>66</v>
      </c>
      <c r="CH74" s="4" t="e">
        <f t="shared" si="120"/>
        <v>#N/A</v>
      </c>
      <c r="CI74" s="4" t="e">
        <f t="shared" si="121"/>
        <v>#N/A</v>
      </c>
      <c r="CJ74" s="4" t="e">
        <f t="shared" si="122"/>
        <v>#N/A</v>
      </c>
      <c r="CL74">
        <f t="shared" si="96"/>
        <v>0</v>
      </c>
      <c r="CM74">
        <f t="shared" si="97"/>
        <v>0</v>
      </c>
    </row>
    <row r="75" spans="2:91" ht="15.75" thickBot="1" x14ac:dyDescent="0.3">
      <c r="B75">
        <f t="shared" si="98"/>
        <v>0</v>
      </c>
      <c r="C75" s="16">
        <v>67</v>
      </c>
      <c r="D75" s="15" t="str">
        <f>IF('Front sheet'!$I20="","",'Front sheet'!$I20)</f>
        <v/>
      </c>
      <c r="E75" s="149" t="e">
        <f>IF('Front sheet'!K20="",NA(),'Front sheet'!K20)</f>
        <v>#N/A</v>
      </c>
      <c r="F75" s="196" t="e">
        <f>IF('Front sheet'!K20="",NA(),'Front sheet'!J20/'Front sheet'!K20)</f>
        <v>#N/A</v>
      </c>
      <c r="G75" s="205">
        <f t="shared" ca="1" si="99"/>
        <v>0.87525423728813556</v>
      </c>
      <c r="H75" s="201" t="e">
        <f t="shared" ca="1" si="123"/>
        <v>#N/A</v>
      </c>
      <c r="I75" s="157" t="e">
        <f t="shared" ca="1" si="124"/>
        <v>#N/A</v>
      </c>
      <c r="J75" s="151" t="e">
        <f>IF('Front sheet'!K20="",NA(),'Front sheet'!J20)</f>
        <v>#N/A</v>
      </c>
      <c r="K75" s="10" t="str">
        <f t="shared" si="100"/>
        <v/>
      </c>
      <c r="L75" s="9" t="e">
        <f t="shared" ca="1" si="101"/>
        <v>#N/A</v>
      </c>
      <c r="M75" s="8" t="e">
        <f t="shared" ca="1" si="102"/>
        <v>#N/A</v>
      </c>
      <c r="N75" t="e">
        <f t="shared" ca="1" si="103"/>
        <v>#N/A</v>
      </c>
      <c r="O75" s="8" t="e">
        <f t="shared" ref="O75:O120" ca="1" si="147">ABS(N74-N75)</f>
        <v>#N/A</v>
      </c>
      <c r="P75" t="e">
        <f t="shared" ca="1" si="104"/>
        <v>#N/A</v>
      </c>
      <c r="Q75" s="8">
        <f>IF(ISERROR($F75),0,IF($F75&gt;$H75,MAX($Q$8:Q74)+1,0))</f>
        <v>0</v>
      </c>
      <c r="R75" s="8">
        <f>IF(ISERROR($F75),0,IF($F75&lt;$I75,MAX($R$8:R74)+1,0))</f>
        <v>0</v>
      </c>
      <c r="T75" s="8">
        <f t="shared" si="105"/>
        <v>0</v>
      </c>
      <c r="U75" s="8">
        <f t="shared" ca="1" si="125"/>
        <v>0</v>
      </c>
      <c r="W75" s="8">
        <f t="shared" si="106"/>
        <v>0</v>
      </c>
      <c r="X75" s="8">
        <f t="shared" ca="1" si="126"/>
        <v>0</v>
      </c>
      <c r="Z75" s="8">
        <f t="shared" si="107"/>
        <v>0</v>
      </c>
      <c r="AA75" s="8">
        <f t="shared" si="127"/>
        <v>0</v>
      </c>
      <c r="AC75" s="8">
        <f t="shared" si="108"/>
        <v>0</v>
      </c>
      <c r="AD75" s="8">
        <f t="shared" si="128"/>
        <v>0</v>
      </c>
      <c r="AF75" s="8">
        <f t="shared" si="129"/>
        <v>0</v>
      </c>
      <c r="AG75" s="8">
        <f t="shared" si="130"/>
        <v>0</v>
      </c>
      <c r="AH75" s="8">
        <f t="shared" si="131"/>
        <v>0</v>
      </c>
      <c r="AI75" s="8">
        <f t="shared" si="132"/>
        <v>0</v>
      </c>
      <c r="AK75" s="11" t="e">
        <f t="shared" si="109"/>
        <v>#N/A</v>
      </c>
      <c r="AL75" s="8"/>
      <c r="AN75" s="8"/>
      <c r="AO75" s="8"/>
      <c r="AP75" s="8" t="e">
        <f>IF(C75&lt;=$E$3,IF(OR('Front sheet'!$Q$3="",'Front sheet'!$Q$3=0),NA(),'Front sheet'!$Q$3),NA())</f>
        <v>#N/A</v>
      </c>
      <c r="AQ75" s="8" t="e">
        <f t="shared" ca="1" si="133"/>
        <v>#N/A</v>
      </c>
      <c r="AR75" s="8" t="e">
        <f t="shared" ca="1" si="134"/>
        <v>#N/A</v>
      </c>
      <c r="AS75" s="8" t="e">
        <f t="shared" ca="1" si="135"/>
        <v>#N/A</v>
      </c>
      <c r="AT75" s="8" t="e">
        <f t="shared" ca="1" si="136"/>
        <v>#N/A</v>
      </c>
      <c r="AU75" s="8" t="e">
        <f t="shared" si="110"/>
        <v>#N/A</v>
      </c>
      <c r="AV75" s="8" t="e">
        <f t="shared" ca="1" si="137"/>
        <v>#N/A</v>
      </c>
      <c r="AX75" s="7" t="str">
        <f t="shared" si="111"/>
        <v/>
      </c>
      <c r="AY75" s="2" t="str">
        <f t="shared" si="112"/>
        <v/>
      </c>
      <c r="BA75" s="2">
        <v>67</v>
      </c>
      <c r="BB75">
        <f t="shared" ca="1" si="113"/>
        <v>3</v>
      </c>
      <c r="BC75" s="14" t="str">
        <f t="shared" si="114"/>
        <v/>
      </c>
      <c r="BD75" s="5" t="e">
        <f t="shared" si="91"/>
        <v>#N/A</v>
      </c>
      <c r="BE75" s="5" t="e">
        <f t="shared" si="92"/>
        <v>#N/A</v>
      </c>
      <c r="BF75" s="5" t="e">
        <f t="shared" si="93"/>
        <v>#N/A</v>
      </c>
      <c r="BG75" s="5" t="e">
        <f t="shared" si="94"/>
        <v>#N/A</v>
      </c>
      <c r="BH75" s="5" t="e">
        <f t="shared" si="95"/>
        <v>#N/A</v>
      </c>
      <c r="BI75">
        <f t="shared" ca="1" si="115"/>
        <v>1</v>
      </c>
      <c r="BJ75" s="158" t="e">
        <f t="shared" si="116"/>
        <v>#N/A</v>
      </c>
      <c r="BK75" s="158" t="e">
        <f t="shared" si="117"/>
        <v>#N/A</v>
      </c>
      <c r="BL75" s="158" t="e">
        <f t="shared" si="118"/>
        <v>#N/A</v>
      </c>
      <c r="BM75" s="158" t="e">
        <f t="shared" si="119"/>
        <v>#N/A</v>
      </c>
      <c r="BN75" s="19"/>
      <c r="BQ75" s="4">
        <v>67</v>
      </c>
      <c r="BR75" s="4" t="e">
        <f t="shared" si="138"/>
        <v>#N/A</v>
      </c>
      <c r="BS75" s="4" t="e">
        <f t="shared" si="139"/>
        <v>#N/A</v>
      </c>
      <c r="BT75" s="4" t="e">
        <f t="shared" si="140"/>
        <v>#N/A</v>
      </c>
      <c r="BV75" s="4">
        <v>67</v>
      </c>
      <c r="BW75" s="4" t="e">
        <f t="shared" si="141"/>
        <v>#N/A</v>
      </c>
      <c r="BX75" s="4" t="e">
        <f t="shared" si="142"/>
        <v>#N/A</v>
      </c>
      <c r="BZ75" s="4">
        <v>67</v>
      </c>
      <c r="CA75" s="4" t="e">
        <f t="shared" si="143"/>
        <v>#N/A</v>
      </c>
      <c r="CB75" s="4" t="e">
        <f t="shared" si="144"/>
        <v>#N/A</v>
      </c>
      <c r="CC75" s="4" t="e">
        <f t="shared" si="145"/>
        <v>#N/A</v>
      </c>
      <c r="CD75" s="4" t="e">
        <f t="shared" si="146"/>
        <v>#N/A</v>
      </c>
      <c r="CG75" s="4">
        <v>67</v>
      </c>
      <c r="CH75" s="4" t="e">
        <f t="shared" si="120"/>
        <v>#N/A</v>
      </c>
      <c r="CI75" s="4" t="e">
        <f t="shared" si="121"/>
        <v>#N/A</v>
      </c>
      <c r="CJ75" s="4" t="e">
        <f t="shared" si="122"/>
        <v>#N/A</v>
      </c>
      <c r="CL75">
        <f t="shared" si="96"/>
        <v>0</v>
      </c>
      <c r="CM75">
        <f t="shared" si="97"/>
        <v>0</v>
      </c>
    </row>
    <row r="76" spans="2:91" ht="15.75" thickBot="1" x14ac:dyDescent="0.3">
      <c r="B76">
        <f t="shared" si="98"/>
        <v>0</v>
      </c>
      <c r="C76" s="16">
        <v>68</v>
      </c>
      <c r="D76" s="15" t="str">
        <f>IF('Front sheet'!$I21="","",'Front sheet'!$I21)</f>
        <v/>
      </c>
      <c r="E76" s="149" t="e">
        <f>IF('Front sheet'!K21="",NA(),'Front sheet'!K21)</f>
        <v>#N/A</v>
      </c>
      <c r="F76" s="196" t="e">
        <f>IF('Front sheet'!K21="",NA(),'Front sheet'!J21/'Front sheet'!K21)</f>
        <v>#N/A</v>
      </c>
      <c r="G76" s="205">
        <f t="shared" ca="1" si="99"/>
        <v>0.87525423728813556</v>
      </c>
      <c r="H76" s="201" t="e">
        <f t="shared" ca="1" si="123"/>
        <v>#N/A</v>
      </c>
      <c r="I76" s="157" t="e">
        <f t="shared" ca="1" si="124"/>
        <v>#N/A</v>
      </c>
      <c r="J76" s="151" t="e">
        <f>IF('Front sheet'!K21="",NA(),'Front sheet'!J21)</f>
        <v>#N/A</v>
      </c>
      <c r="K76" s="10" t="str">
        <f t="shared" si="100"/>
        <v/>
      </c>
      <c r="L76" s="9" t="e">
        <f t="shared" ca="1" si="101"/>
        <v>#N/A</v>
      </c>
      <c r="M76" s="8" t="e">
        <f t="shared" ca="1" si="102"/>
        <v>#N/A</v>
      </c>
      <c r="N76" t="e">
        <f t="shared" ca="1" si="103"/>
        <v>#N/A</v>
      </c>
      <c r="O76" s="8" t="e">
        <f t="shared" ca="1" si="147"/>
        <v>#N/A</v>
      </c>
      <c r="P76" t="e">
        <f t="shared" ca="1" si="104"/>
        <v>#N/A</v>
      </c>
      <c r="Q76" s="8">
        <f>IF(ISERROR($F76),0,IF($F76&gt;$H76,MAX($Q$8:Q75)+1,0))</f>
        <v>0</v>
      </c>
      <c r="R76" s="8">
        <f>IF(ISERROR($F76),0,IF($F76&lt;$I76,MAX($R$8:R75)+1,0))</f>
        <v>0</v>
      </c>
      <c r="T76" s="8">
        <f t="shared" si="105"/>
        <v>0</v>
      </c>
      <c r="U76" s="8">
        <f t="shared" ca="1" si="125"/>
        <v>0</v>
      </c>
      <c r="W76" s="8">
        <f t="shared" si="106"/>
        <v>0</v>
      </c>
      <c r="X76" s="8">
        <f t="shared" ca="1" si="126"/>
        <v>0</v>
      </c>
      <c r="Z76" s="8">
        <f t="shared" si="107"/>
        <v>0</v>
      </c>
      <c r="AA76" s="8">
        <f t="shared" si="127"/>
        <v>0</v>
      </c>
      <c r="AC76" s="8">
        <f t="shared" si="108"/>
        <v>0</v>
      </c>
      <c r="AD76" s="8">
        <f t="shared" si="128"/>
        <v>0</v>
      </c>
      <c r="AF76" s="8">
        <f t="shared" si="129"/>
        <v>0</v>
      </c>
      <c r="AG76" s="8">
        <f t="shared" si="130"/>
        <v>0</v>
      </c>
      <c r="AH76" s="8">
        <f t="shared" si="131"/>
        <v>0</v>
      </c>
      <c r="AI76" s="8">
        <f t="shared" si="132"/>
        <v>0</v>
      </c>
      <c r="AK76" s="11" t="e">
        <f t="shared" si="109"/>
        <v>#N/A</v>
      </c>
      <c r="AL76" s="8"/>
      <c r="AN76" s="8"/>
      <c r="AO76" s="8"/>
      <c r="AP76" s="8" t="e">
        <f>IF(C76&lt;=$E$3,IF(OR('Front sheet'!$Q$3="",'Front sheet'!$Q$3=0),NA(),'Front sheet'!$Q$3),NA())</f>
        <v>#N/A</v>
      </c>
      <c r="AQ76" s="8" t="e">
        <f t="shared" ca="1" si="133"/>
        <v>#N/A</v>
      </c>
      <c r="AR76" s="8" t="e">
        <f t="shared" ca="1" si="134"/>
        <v>#N/A</v>
      </c>
      <c r="AS76" s="8" t="e">
        <f t="shared" ca="1" si="135"/>
        <v>#N/A</v>
      </c>
      <c r="AT76" s="8" t="e">
        <f t="shared" ca="1" si="136"/>
        <v>#N/A</v>
      </c>
      <c r="AU76" s="8" t="e">
        <f t="shared" si="110"/>
        <v>#N/A</v>
      </c>
      <c r="AV76" s="8" t="e">
        <f t="shared" ca="1" si="137"/>
        <v>#N/A</v>
      </c>
      <c r="AX76" s="7" t="str">
        <f t="shared" si="111"/>
        <v/>
      </c>
      <c r="AY76" s="2" t="str">
        <f t="shared" si="112"/>
        <v/>
      </c>
      <c r="BA76" s="2">
        <v>68</v>
      </c>
      <c r="BB76">
        <f t="shared" ca="1" si="113"/>
        <v>3</v>
      </c>
      <c r="BC76" s="14" t="str">
        <f t="shared" si="114"/>
        <v/>
      </c>
      <c r="BD76" s="5" t="e">
        <f t="shared" si="91"/>
        <v>#N/A</v>
      </c>
      <c r="BE76" s="5" t="e">
        <f t="shared" si="92"/>
        <v>#N/A</v>
      </c>
      <c r="BF76" s="5" t="e">
        <f t="shared" si="93"/>
        <v>#N/A</v>
      </c>
      <c r="BG76" s="5" t="e">
        <f t="shared" si="94"/>
        <v>#N/A</v>
      </c>
      <c r="BH76" s="5" t="e">
        <f t="shared" si="95"/>
        <v>#N/A</v>
      </c>
      <c r="BI76">
        <f t="shared" ca="1" si="115"/>
        <v>1</v>
      </c>
      <c r="BJ76" s="158" t="e">
        <f t="shared" si="116"/>
        <v>#N/A</v>
      </c>
      <c r="BK76" s="158" t="e">
        <f t="shared" si="117"/>
        <v>#N/A</v>
      </c>
      <c r="BL76" s="158" t="e">
        <f t="shared" si="118"/>
        <v>#N/A</v>
      </c>
      <c r="BM76" s="158" t="e">
        <f t="shared" si="119"/>
        <v>#N/A</v>
      </c>
      <c r="BN76" s="19"/>
      <c r="BQ76" s="4">
        <v>68</v>
      </c>
      <c r="BR76" s="4" t="e">
        <f t="shared" si="138"/>
        <v>#N/A</v>
      </c>
      <c r="BS76" s="4" t="e">
        <f t="shared" si="139"/>
        <v>#N/A</v>
      </c>
      <c r="BT76" s="4" t="e">
        <f t="shared" si="140"/>
        <v>#N/A</v>
      </c>
      <c r="BV76" s="4">
        <v>68</v>
      </c>
      <c r="BW76" s="4" t="e">
        <f t="shared" si="141"/>
        <v>#N/A</v>
      </c>
      <c r="BX76" s="4" t="e">
        <f t="shared" si="142"/>
        <v>#N/A</v>
      </c>
      <c r="BZ76" s="4">
        <v>68</v>
      </c>
      <c r="CA76" s="4" t="e">
        <f t="shared" si="143"/>
        <v>#N/A</v>
      </c>
      <c r="CB76" s="4" t="e">
        <f t="shared" si="144"/>
        <v>#N/A</v>
      </c>
      <c r="CC76" s="4" t="e">
        <f t="shared" si="145"/>
        <v>#N/A</v>
      </c>
      <c r="CD76" s="4" t="e">
        <f t="shared" si="146"/>
        <v>#N/A</v>
      </c>
      <c r="CG76" s="4">
        <v>68</v>
      </c>
      <c r="CH76" s="4" t="e">
        <f t="shared" si="120"/>
        <v>#N/A</v>
      </c>
      <c r="CI76" s="4" t="e">
        <f t="shared" si="121"/>
        <v>#N/A</v>
      </c>
      <c r="CJ76" s="4" t="e">
        <f t="shared" si="122"/>
        <v>#N/A</v>
      </c>
      <c r="CL76">
        <f t="shared" si="96"/>
        <v>0</v>
      </c>
      <c r="CM76">
        <f t="shared" si="97"/>
        <v>0</v>
      </c>
    </row>
    <row r="77" spans="2:91" ht="15.75" thickBot="1" x14ac:dyDescent="0.3">
      <c r="B77">
        <f t="shared" si="98"/>
        <v>0</v>
      </c>
      <c r="C77" s="16">
        <v>69</v>
      </c>
      <c r="D77" s="15" t="str">
        <f>IF('Front sheet'!$I22="","",'Front sheet'!$I22)</f>
        <v/>
      </c>
      <c r="E77" s="149" t="e">
        <f>IF('Front sheet'!K22="",NA(),'Front sheet'!K22)</f>
        <v>#N/A</v>
      </c>
      <c r="F77" s="196" t="e">
        <f>IF('Front sheet'!K22="",NA(),'Front sheet'!J22/'Front sheet'!K22)</f>
        <v>#N/A</v>
      </c>
      <c r="G77" s="205">
        <f t="shared" ca="1" si="99"/>
        <v>0.87525423728813556</v>
      </c>
      <c r="H77" s="201" t="e">
        <f t="shared" ca="1" si="123"/>
        <v>#N/A</v>
      </c>
      <c r="I77" s="157" t="e">
        <f t="shared" ca="1" si="124"/>
        <v>#N/A</v>
      </c>
      <c r="J77" s="151" t="e">
        <f>IF('Front sheet'!K22="",NA(),'Front sheet'!J22)</f>
        <v>#N/A</v>
      </c>
      <c r="K77" s="10" t="str">
        <f t="shared" si="100"/>
        <v/>
      </c>
      <c r="L77" s="9" t="e">
        <f t="shared" ca="1" si="101"/>
        <v>#N/A</v>
      </c>
      <c r="M77" s="8" t="e">
        <f t="shared" ca="1" si="102"/>
        <v>#N/A</v>
      </c>
      <c r="N77" t="e">
        <f t="shared" ca="1" si="103"/>
        <v>#N/A</v>
      </c>
      <c r="O77" s="8" t="e">
        <f t="shared" ca="1" si="147"/>
        <v>#N/A</v>
      </c>
      <c r="P77" t="e">
        <f t="shared" ca="1" si="104"/>
        <v>#N/A</v>
      </c>
      <c r="Q77" s="8">
        <f>IF(ISERROR($F77),0,IF($F77&gt;$H77,MAX($Q$8:Q76)+1,0))</f>
        <v>0</v>
      </c>
      <c r="R77" s="8">
        <f>IF(ISERROR($F77),0,IF($F77&lt;$I77,MAX($R$8:R76)+1,0))</f>
        <v>0</v>
      </c>
      <c r="T77" s="8">
        <f t="shared" si="105"/>
        <v>0</v>
      </c>
      <c r="U77" s="8">
        <f t="shared" ca="1" si="125"/>
        <v>0</v>
      </c>
      <c r="W77" s="8">
        <f t="shared" si="106"/>
        <v>0</v>
      </c>
      <c r="X77" s="8">
        <f t="shared" ca="1" si="126"/>
        <v>0</v>
      </c>
      <c r="Z77" s="8">
        <f t="shared" si="107"/>
        <v>0</v>
      </c>
      <c r="AA77" s="8">
        <f t="shared" si="127"/>
        <v>0</v>
      </c>
      <c r="AC77" s="8">
        <f t="shared" si="108"/>
        <v>0</v>
      </c>
      <c r="AD77" s="8">
        <f t="shared" si="128"/>
        <v>0</v>
      </c>
      <c r="AF77" s="8">
        <f t="shared" si="129"/>
        <v>0</v>
      </c>
      <c r="AG77" s="8">
        <f t="shared" si="130"/>
        <v>0</v>
      </c>
      <c r="AH77" s="8">
        <f t="shared" si="131"/>
        <v>0</v>
      </c>
      <c r="AI77" s="8">
        <f t="shared" si="132"/>
        <v>0</v>
      </c>
      <c r="AK77" s="11" t="e">
        <f t="shared" si="109"/>
        <v>#N/A</v>
      </c>
      <c r="AL77" s="8"/>
      <c r="AN77" s="8"/>
      <c r="AO77" s="8"/>
      <c r="AP77" s="8" t="e">
        <f>IF(C77&lt;=$E$3,IF(OR('Front sheet'!$Q$3="",'Front sheet'!$Q$3=0),NA(),'Front sheet'!$Q$3),NA())</f>
        <v>#N/A</v>
      </c>
      <c r="AQ77" s="8" t="e">
        <f t="shared" ca="1" si="133"/>
        <v>#N/A</v>
      </c>
      <c r="AR77" s="8" t="e">
        <f t="shared" ca="1" si="134"/>
        <v>#N/A</v>
      </c>
      <c r="AS77" s="8" t="e">
        <f t="shared" ca="1" si="135"/>
        <v>#N/A</v>
      </c>
      <c r="AT77" s="8" t="e">
        <f t="shared" ca="1" si="136"/>
        <v>#N/A</v>
      </c>
      <c r="AU77" s="8" t="e">
        <f t="shared" si="110"/>
        <v>#N/A</v>
      </c>
      <c r="AV77" s="8" t="e">
        <f t="shared" ca="1" si="137"/>
        <v>#N/A</v>
      </c>
      <c r="AX77" s="7" t="str">
        <f t="shared" si="111"/>
        <v/>
      </c>
      <c r="AY77" s="2" t="str">
        <f t="shared" si="112"/>
        <v/>
      </c>
      <c r="BA77" s="2">
        <v>69</v>
      </c>
      <c r="BB77">
        <f t="shared" ca="1" si="113"/>
        <v>3</v>
      </c>
      <c r="BC77" s="14" t="str">
        <f t="shared" si="114"/>
        <v/>
      </c>
      <c r="BD77" s="5" t="e">
        <f t="shared" si="91"/>
        <v>#N/A</v>
      </c>
      <c r="BE77" s="5" t="e">
        <f t="shared" si="92"/>
        <v>#N/A</v>
      </c>
      <c r="BF77" s="5" t="e">
        <f t="shared" si="93"/>
        <v>#N/A</v>
      </c>
      <c r="BG77" s="5" t="e">
        <f t="shared" si="94"/>
        <v>#N/A</v>
      </c>
      <c r="BH77" s="5" t="e">
        <f t="shared" si="95"/>
        <v>#N/A</v>
      </c>
      <c r="BI77">
        <f t="shared" ca="1" si="115"/>
        <v>1</v>
      </c>
      <c r="BJ77" s="158" t="e">
        <f t="shared" si="116"/>
        <v>#N/A</v>
      </c>
      <c r="BK77" s="158" t="e">
        <f t="shared" si="117"/>
        <v>#N/A</v>
      </c>
      <c r="BL77" s="158" t="e">
        <f t="shared" si="118"/>
        <v>#N/A</v>
      </c>
      <c r="BM77" s="158" t="e">
        <f t="shared" si="119"/>
        <v>#N/A</v>
      </c>
      <c r="BN77" s="19"/>
      <c r="BQ77" s="4">
        <v>69</v>
      </c>
      <c r="BR77" s="4" t="e">
        <f t="shared" si="138"/>
        <v>#N/A</v>
      </c>
      <c r="BS77" s="4" t="e">
        <f t="shared" si="139"/>
        <v>#N/A</v>
      </c>
      <c r="BT77" s="4" t="e">
        <f t="shared" si="140"/>
        <v>#N/A</v>
      </c>
      <c r="BV77" s="4">
        <v>69</v>
      </c>
      <c r="BW77" s="4" t="e">
        <f t="shared" si="141"/>
        <v>#N/A</v>
      </c>
      <c r="BX77" s="4" t="e">
        <f t="shared" si="142"/>
        <v>#N/A</v>
      </c>
      <c r="BZ77" s="4">
        <v>69</v>
      </c>
      <c r="CA77" s="4" t="e">
        <f t="shared" si="143"/>
        <v>#N/A</v>
      </c>
      <c r="CB77" s="4" t="e">
        <f t="shared" si="144"/>
        <v>#N/A</v>
      </c>
      <c r="CC77" s="4" t="e">
        <f t="shared" si="145"/>
        <v>#N/A</v>
      </c>
      <c r="CD77" s="4" t="e">
        <f t="shared" si="146"/>
        <v>#N/A</v>
      </c>
      <c r="CG77" s="4">
        <v>69</v>
      </c>
      <c r="CH77" s="4" t="e">
        <f t="shared" si="120"/>
        <v>#N/A</v>
      </c>
      <c r="CI77" s="4" t="e">
        <f t="shared" si="121"/>
        <v>#N/A</v>
      </c>
      <c r="CJ77" s="4" t="e">
        <f t="shared" si="122"/>
        <v>#N/A</v>
      </c>
      <c r="CL77">
        <f t="shared" si="96"/>
        <v>0</v>
      </c>
      <c r="CM77">
        <f t="shared" si="97"/>
        <v>0</v>
      </c>
    </row>
    <row r="78" spans="2:91" ht="15.75" thickBot="1" x14ac:dyDescent="0.3">
      <c r="B78">
        <f t="shared" si="98"/>
        <v>0</v>
      </c>
      <c r="C78" s="13">
        <v>70</v>
      </c>
      <c r="D78" s="12" t="str">
        <f>IF('Front sheet'!$I23="","",'Front sheet'!$I23)</f>
        <v/>
      </c>
      <c r="E78" s="149" t="e">
        <f>IF('Front sheet'!K23="",NA(),'Front sheet'!K23)</f>
        <v>#N/A</v>
      </c>
      <c r="F78" s="199" t="e">
        <f>IF('Front sheet'!K23="",NA(),'Front sheet'!J23/'Front sheet'!K23)</f>
        <v>#N/A</v>
      </c>
      <c r="G78" s="205">
        <f t="shared" ca="1" si="99"/>
        <v>0.87525423728813556</v>
      </c>
      <c r="H78" s="204" t="e">
        <f t="shared" ca="1" si="123"/>
        <v>#N/A</v>
      </c>
      <c r="I78" s="190" t="e">
        <f t="shared" ca="1" si="124"/>
        <v>#N/A</v>
      </c>
      <c r="J78" s="191" t="e">
        <f>IF('Front sheet'!K23="",NA(),'Front sheet'!J23)</f>
        <v>#N/A</v>
      </c>
      <c r="K78" s="10" t="str">
        <f t="shared" si="100"/>
        <v/>
      </c>
      <c r="L78" s="9" t="e">
        <f t="shared" ca="1" si="101"/>
        <v>#N/A</v>
      </c>
      <c r="M78" s="8" t="e">
        <f t="shared" ca="1" si="102"/>
        <v>#N/A</v>
      </c>
      <c r="N78" t="e">
        <f t="shared" ca="1" si="103"/>
        <v>#N/A</v>
      </c>
      <c r="O78" s="8" t="e">
        <f t="shared" ca="1" si="147"/>
        <v>#N/A</v>
      </c>
      <c r="P78" t="e">
        <f t="shared" ca="1" si="104"/>
        <v>#N/A</v>
      </c>
      <c r="Q78" s="8">
        <f>IF(ISERROR($F78),0,IF($F78&gt;$H78,MAX($Q$8:Q77)+1,0))</f>
        <v>0</v>
      </c>
      <c r="R78" s="8">
        <f>IF(ISERROR($F78),0,IF($F78&lt;$I78,MAX($R$8:R77)+1,0))</f>
        <v>0</v>
      </c>
      <c r="T78" s="8">
        <f t="shared" si="105"/>
        <v>0</v>
      </c>
      <c r="U78" s="8">
        <f t="shared" ca="1" si="125"/>
        <v>0</v>
      </c>
      <c r="W78" s="8">
        <f t="shared" si="106"/>
        <v>0</v>
      </c>
      <c r="X78" s="8">
        <f t="shared" ca="1" si="126"/>
        <v>0</v>
      </c>
      <c r="Z78" s="8">
        <f t="shared" si="107"/>
        <v>0</v>
      </c>
      <c r="AA78" s="8">
        <f t="shared" si="127"/>
        <v>0</v>
      </c>
      <c r="AC78" s="8">
        <f t="shared" si="108"/>
        <v>0</v>
      </c>
      <c r="AD78" s="8">
        <f t="shared" si="128"/>
        <v>0</v>
      </c>
      <c r="AF78" s="8">
        <f t="shared" si="129"/>
        <v>0</v>
      </c>
      <c r="AG78" s="8">
        <f t="shared" si="130"/>
        <v>0</v>
      </c>
      <c r="AH78" s="8">
        <f t="shared" si="131"/>
        <v>0</v>
      </c>
      <c r="AI78" s="8">
        <f t="shared" si="132"/>
        <v>0</v>
      </c>
      <c r="AK78" s="11" t="e">
        <f t="shared" si="109"/>
        <v>#N/A</v>
      </c>
      <c r="AL78" s="8"/>
      <c r="AN78" s="8"/>
      <c r="AO78" s="8"/>
      <c r="AP78" s="8" t="e">
        <f>IF(C78&lt;=$E$3,IF(OR('Front sheet'!$Q$3="",'Front sheet'!$Q$3=0),NA(),'Front sheet'!$Q$3),NA())</f>
        <v>#N/A</v>
      </c>
      <c r="AQ78" s="8" t="e">
        <f t="shared" ca="1" si="133"/>
        <v>#N/A</v>
      </c>
      <c r="AR78" s="8" t="e">
        <f t="shared" ca="1" si="134"/>
        <v>#N/A</v>
      </c>
      <c r="AS78" s="8" t="e">
        <f t="shared" ca="1" si="135"/>
        <v>#N/A</v>
      </c>
      <c r="AT78" s="8" t="e">
        <f t="shared" ca="1" si="136"/>
        <v>#N/A</v>
      </c>
      <c r="AU78" s="8" t="e">
        <f t="shared" si="110"/>
        <v>#N/A</v>
      </c>
      <c r="AV78" s="8" t="e">
        <f t="shared" ca="1" si="137"/>
        <v>#N/A</v>
      </c>
      <c r="AX78" s="7" t="str">
        <f t="shared" si="111"/>
        <v/>
      </c>
      <c r="AY78" s="2" t="str">
        <f t="shared" si="112"/>
        <v/>
      </c>
      <c r="BA78" s="2">
        <v>70</v>
      </c>
      <c r="BB78">
        <f t="shared" ca="1" si="113"/>
        <v>3</v>
      </c>
      <c r="BC78" s="14" t="str">
        <f t="shared" si="114"/>
        <v/>
      </c>
      <c r="BD78" s="5" t="e">
        <f t="shared" si="91"/>
        <v>#N/A</v>
      </c>
      <c r="BE78" s="5" t="e">
        <f t="shared" si="92"/>
        <v>#N/A</v>
      </c>
      <c r="BF78" s="5" t="e">
        <f t="shared" si="93"/>
        <v>#N/A</v>
      </c>
      <c r="BG78" s="5" t="e">
        <f t="shared" si="94"/>
        <v>#N/A</v>
      </c>
      <c r="BH78" s="5" t="e">
        <f t="shared" si="95"/>
        <v>#N/A</v>
      </c>
      <c r="BI78">
        <f t="shared" ca="1" si="115"/>
        <v>1</v>
      </c>
      <c r="BJ78" s="158" t="e">
        <f t="shared" si="116"/>
        <v>#N/A</v>
      </c>
      <c r="BK78" s="158" t="e">
        <f t="shared" si="117"/>
        <v>#N/A</v>
      </c>
      <c r="BL78" s="158" t="e">
        <f t="shared" si="118"/>
        <v>#N/A</v>
      </c>
      <c r="BM78" s="158" t="e">
        <f t="shared" si="119"/>
        <v>#N/A</v>
      </c>
      <c r="BN78" s="19"/>
      <c r="BQ78" s="4">
        <v>70</v>
      </c>
      <c r="BR78" s="4" t="e">
        <f t="shared" si="138"/>
        <v>#N/A</v>
      </c>
      <c r="BS78" s="4" t="e">
        <f t="shared" si="139"/>
        <v>#N/A</v>
      </c>
      <c r="BT78" s="4" t="e">
        <f t="shared" si="140"/>
        <v>#N/A</v>
      </c>
      <c r="BV78" s="4">
        <v>70</v>
      </c>
      <c r="BW78" s="4" t="e">
        <f t="shared" si="141"/>
        <v>#N/A</v>
      </c>
      <c r="BX78" s="4" t="e">
        <f t="shared" si="142"/>
        <v>#N/A</v>
      </c>
      <c r="BZ78" s="4">
        <v>70</v>
      </c>
      <c r="CA78" s="4" t="e">
        <f t="shared" si="143"/>
        <v>#N/A</v>
      </c>
      <c r="CB78" s="4" t="e">
        <f t="shared" si="144"/>
        <v>#N/A</v>
      </c>
      <c r="CC78" s="4" t="e">
        <f t="shared" si="145"/>
        <v>#N/A</v>
      </c>
      <c r="CD78" s="4" t="e">
        <f t="shared" si="146"/>
        <v>#N/A</v>
      </c>
      <c r="CG78" s="4">
        <v>70</v>
      </c>
      <c r="CH78" s="4" t="e">
        <f t="shared" si="120"/>
        <v>#N/A</v>
      </c>
      <c r="CI78" s="4" t="e">
        <f t="shared" si="121"/>
        <v>#N/A</v>
      </c>
      <c r="CJ78" s="4" t="e">
        <f t="shared" si="122"/>
        <v>#N/A</v>
      </c>
      <c r="CL78">
        <f t="shared" si="96"/>
        <v>0</v>
      </c>
      <c r="CM78">
        <f t="shared" si="97"/>
        <v>0</v>
      </c>
    </row>
    <row r="79" spans="2:91" ht="15.75" thickBot="1" x14ac:dyDescent="0.3">
      <c r="B79">
        <f t="shared" si="98"/>
        <v>0</v>
      </c>
      <c r="C79" s="18">
        <v>71</v>
      </c>
      <c r="D79" s="17" t="str">
        <f>IF('Front sheet'!$I24="","",'Front sheet'!$I24)</f>
        <v/>
      </c>
      <c r="E79" s="149" t="e">
        <f>IF('Front sheet'!K24="",NA(),'Front sheet'!K24)</f>
        <v>#N/A</v>
      </c>
      <c r="F79" s="195" t="e">
        <f>IF('Front sheet'!K24="",NA(),'Front sheet'!J24/'Front sheet'!K24)</f>
        <v>#N/A</v>
      </c>
      <c r="G79" s="206">
        <f t="shared" ca="1" si="99"/>
        <v>0.87525423728813556</v>
      </c>
      <c r="H79" s="200" t="e">
        <f t="shared" ca="1" si="123"/>
        <v>#N/A</v>
      </c>
      <c r="I79" s="192" t="e">
        <f t="shared" ca="1" si="124"/>
        <v>#N/A</v>
      </c>
      <c r="J79" s="150" t="e">
        <f>IF('Front sheet'!K24="",NA(),'Front sheet'!J24)</f>
        <v>#N/A</v>
      </c>
      <c r="K79" s="10" t="str">
        <f t="shared" si="100"/>
        <v/>
      </c>
      <c r="L79" s="9" t="e">
        <f t="shared" ca="1" si="101"/>
        <v>#N/A</v>
      </c>
      <c r="M79" s="8" t="e">
        <f t="shared" ca="1" si="102"/>
        <v>#N/A</v>
      </c>
      <c r="N79" t="e">
        <f t="shared" ca="1" si="103"/>
        <v>#N/A</v>
      </c>
      <c r="O79" s="8" t="e">
        <f t="shared" ca="1" si="147"/>
        <v>#N/A</v>
      </c>
      <c r="P79" t="e">
        <f t="shared" ca="1" si="104"/>
        <v>#N/A</v>
      </c>
      <c r="Q79" s="8">
        <f>IF(ISERROR($F79),0,IF($F79&gt;$H79,MAX($Q$8:Q78)+1,0))</f>
        <v>0</v>
      </c>
      <c r="R79" s="8">
        <f>IF(ISERROR($F79),0,IF($F79&lt;$I79,MAX($R$8:R78)+1,0))</f>
        <v>0</v>
      </c>
      <c r="T79" s="8">
        <f t="shared" si="105"/>
        <v>0</v>
      </c>
      <c r="U79" s="8">
        <f t="shared" ca="1" si="125"/>
        <v>0</v>
      </c>
      <c r="W79" s="8">
        <f t="shared" si="106"/>
        <v>0</v>
      </c>
      <c r="X79" s="8">
        <f t="shared" ca="1" si="126"/>
        <v>0</v>
      </c>
      <c r="Z79" s="8">
        <f t="shared" si="107"/>
        <v>0</v>
      </c>
      <c r="AA79" s="8">
        <f t="shared" si="127"/>
        <v>0</v>
      </c>
      <c r="AC79" s="8">
        <f t="shared" si="108"/>
        <v>0</v>
      </c>
      <c r="AD79" s="8">
        <f t="shared" si="128"/>
        <v>0</v>
      </c>
      <c r="AF79" s="8">
        <f t="shared" si="129"/>
        <v>0</v>
      </c>
      <c r="AG79" s="8">
        <f t="shared" si="130"/>
        <v>0</v>
      </c>
      <c r="AH79" s="8">
        <f t="shared" si="131"/>
        <v>0</v>
      </c>
      <c r="AI79" s="8">
        <f t="shared" si="132"/>
        <v>0</v>
      </c>
      <c r="AK79" s="11" t="e">
        <f t="shared" si="109"/>
        <v>#N/A</v>
      </c>
      <c r="AL79" s="8"/>
      <c r="AN79" s="8"/>
      <c r="AO79" s="8"/>
      <c r="AP79" s="8" t="e">
        <f>IF(C79&lt;=$E$3,IF(OR('Front sheet'!$Q$3="",'Front sheet'!$Q$3=0),NA(),'Front sheet'!$Q$3),NA())</f>
        <v>#N/A</v>
      </c>
      <c r="AQ79" s="8" t="e">
        <f t="shared" ca="1" si="133"/>
        <v>#N/A</v>
      </c>
      <c r="AR79" s="8" t="e">
        <f t="shared" ca="1" si="134"/>
        <v>#N/A</v>
      </c>
      <c r="AS79" s="8" t="e">
        <f t="shared" ca="1" si="135"/>
        <v>#N/A</v>
      </c>
      <c r="AT79" s="8" t="e">
        <f t="shared" ca="1" si="136"/>
        <v>#N/A</v>
      </c>
      <c r="AU79" s="8" t="e">
        <f t="shared" si="110"/>
        <v>#N/A</v>
      </c>
      <c r="AV79" s="8" t="e">
        <f t="shared" ca="1" si="137"/>
        <v>#N/A</v>
      </c>
      <c r="AX79" s="7" t="str">
        <f t="shared" si="111"/>
        <v/>
      </c>
      <c r="AY79" s="2" t="str">
        <f t="shared" si="112"/>
        <v/>
      </c>
      <c r="BA79" s="2">
        <v>71</v>
      </c>
      <c r="BB79">
        <f t="shared" ca="1" si="113"/>
        <v>3</v>
      </c>
      <c r="BC79" s="14" t="str">
        <f t="shared" si="114"/>
        <v/>
      </c>
      <c r="BD79" s="5" t="e">
        <f t="shared" si="91"/>
        <v>#N/A</v>
      </c>
      <c r="BE79" s="5" t="e">
        <f t="shared" si="92"/>
        <v>#N/A</v>
      </c>
      <c r="BF79" s="5" t="e">
        <f t="shared" si="93"/>
        <v>#N/A</v>
      </c>
      <c r="BG79" s="5" t="e">
        <f t="shared" si="94"/>
        <v>#N/A</v>
      </c>
      <c r="BH79" s="5" t="e">
        <f t="shared" si="95"/>
        <v>#N/A</v>
      </c>
      <c r="BI79">
        <f t="shared" ca="1" si="115"/>
        <v>1</v>
      </c>
      <c r="BJ79" s="158" t="e">
        <f t="shared" si="116"/>
        <v>#N/A</v>
      </c>
      <c r="BK79" s="158" t="e">
        <f t="shared" si="117"/>
        <v>#N/A</v>
      </c>
      <c r="BL79" s="158" t="e">
        <f t="shared" si="118"/>
        <v>#N/A</v>
      </c>
      <c r="BM79" s="158" t="e">
        <f t="shared" si="119"/>
        <v>#N/A</v>
      </c>
      <c r="BN79" s="19"/>
      <c r="BQ79" s="4">
        <v>71</v>
      </c>
      <c r="BR79" s="4" t="e">
        <f t="shared" si="138"/>
        <v>#N/A</v>
      </c>
      <c r="BS79" s="4" t="e">
        <f t="shared" si="139"/>
        <v>#N/A</v>
      </c>
      <c r="BT79" s="4" t="e">
        <f t="shared" si="140"/>
        <v>#N/A</v>
      </c>
      <c r="BV79" s="4">
        <v>71</v>
      </c>
      <c r="BW79" s="4" t="e">
        <f t="shared" si="141"/>
        <v>#N/A</v>
      </c>
      <c r="BX79" s="4" t="e">
        <f t="shared" si="142"/>
        <v>#N/A</v>
      </c>
      <c r="BZ79" s="4">
        <v>71</v>
      </c>
      <c r="CA79" s="4" t="e">
        <f t="shared" si="143"/>
        <v>#N/A</v>
      </c>
      <c r="CB79" s="4" t="e">
        <f t="shared" si="144"/>
        <v>#N/A</v>
      </c>
      <c r="CC79" s="4" t="e">
        <f t="shared" si="145"/>
        <v>#N/A</v>
      </c>
      <c r="CD79" s="4" t="e">
        <f t="shared" si="146"/>
        <v>#N/A</v>
      </c>
      <c r="CG79" s="4">
        <v>71</v>
      </c>
      <c r="CH79" s="4" t="e">
        <f t="shared" si="120"/>
        <v>#N/A</v>
      </c>
      <c r="CI79" s="4" t="e">
        <f t="shared" si="121"/>
        <v>#N/A</v>
      </c>
      <c r="CJ79" s="4" t="e">
        <f t="shared" si="122"/>
        <v>#N/A</v>
      </c>
      <c r="CL79">
        <f t="shared" si="96"/>
        <v>0</v>
      </c>
      <c r="CM79">
        <f t="shared" si="97"/>
        <v>0</v>
      </c>
    </row>
    <row r="80" spans="2:91" ht="15.75" thickBot="1" x14ac:dyDescent="0.3">
      <c r="B80">
        <f t="shared" si="98"/>
        <v>0</v>
      </c>
      <c r="C80" s="16">
        <v>72</v>
      </c>
      <c r="D80" s="15" t="str">
        <f>IF('Front sheet'!$I25="","",'Front sheet'!$I25)</f>
        <v/>
      </c>
      <c r="E80" s="149" t="e">
        <f>IF('Front sheet'!K25="",NA(),'Front sheet'!K25)</f>
        <v>#N/A</v>
      </c>
      <c r="F80" s="196" t="e">
        <f>IF('Front sheet'!K25="",NA(),'Front sheet'!J25/'Front sheet'!K25)</f>
        <v>#N/A</v>
      </c>
      <c r="G80" s="205">
        <f t="shared" ca="1" si="99"/>
        <v>0.87525423728813556</v>
      </c>
      <c r="H80" s="201" t="e">
        <f t="shared" ca="1" si="123"/>
        <v>#N/A</v>
      </c>
      <c r="I80" s="157" t="e">
        <f t="shared" ca="1" si="124"/>
        <v>#N/A</v>
      </c>
      <c r="J80" s="151" t="e">
        <f>IF('Front sheet'!K25="",NA(),'Front sheet'!J25)</f>
        <v>#N/A</v>
      </c>
      <c r="K80" s="10" t="str">
        <f t="shared" si="100"/>
        <v/>
      </c>
      <c r="L80" s="9" t="e">
        <f t="shared" ca="1" si="101"/>
        <v>#N/A</v>
      </c>
      <c r="M80" s="8" t="e">
        <f t="shared" ca="1" si="102"/>
        <v>#N/A</v>
      </c>
      <c r="N80" t="e">
        <f t="shared" ca="1" si="103"/>
        <v>#N/A</v>
      </c>
      <c r="O80" s="8" t="e">
        <f t="shared" ca="1" si="147"/>
        <v>#N/A</v>
      </c>
      <c r="P80" t="e">
        <f t="shared" ca="1" si="104"/>
        <v>#N/A</v>
      </c>
      <c r="Q80" s="8">
        <f>IF(ISERROR($F80),0,IF($F80&gt;$H80,MAX($Q$8:Q79)+1,0))</f>
        <v>0</v>
      </c>
      <c r="R80" s="8">
        <f>IF(ISERROR($F80),0,IF($F80&lt;$I80,MAX($R$8:R79)+1,0))</f>
        <v>0</v>
      </c>
      <c r="T80" s="8">
        <f t="shared" si="105"/>
        <v>0</v>
      </c>
      <c r="U80" s="8">
        <f t="shared" ca="1" si="125"/>
        <v>0</v>
      </c>
      <c r="W80" s="8">
        <f t="shared" si="106"/>
        <v>0</v>
      </c>
      <c r="X80" s="8">
        <f t="shared" ca="1" si="126"/>
        <v>0</v>
      </c>
      <c r="Z80" s="8">
        <f t="shared" si="107"/>
        <v>0</v>
      </c>
      <c r="AA80" s="8">
        <f t="shared" si="127"/>
        <v>0</v>
      </c>
      <c r="AC80" s="8">
        <f t="shared" si="108"/>
        <v>0</v>
      </c>
      <c r="AD80" s="8">
        <f t="shared" si="128"/>
        <v>0</v>
      </c>
      <c r="AF80" s="8">
        <f t="shared" si="129"/>
        <v>0</v>
      </c>
      <c r="AG80" s="8">
        <f t="shared" si="130"/>
        <v>0</v>
      </c>
      <c r="AH80" s="8">
        <f t="shared" si="131"/>
        <v>0</v>
      </c>
      <c r="AI80" s="8">
        <f t="shared" si="132"/>
        <v>0</v>
      </c>
      <c r="AK80" s="11" t="e">
        <f t="shared" si="109"/>
        <v>#N/A</v>
      </c>
      <c r="AL80" s="8"/>
      <c r="AN80" s="8"/>
      <c r="AO80" s="8"/>
      <c r="AP80" s="8" t="e">
        <f>IF(C80&lt;=$E$3,IF(OR('Front sheet'!$Q$3="",'Front sheet'!$Q$3=0),NA(),'Front sheet'!$Q$3),NA())</f>
        <v>#N/A</v>
      </c>
      <c r="AQ80" s="8" t="e">
        <f t="shared" ca="1" si="133"/>
        <v>#N/A</v>
      </c>
      <c r="AR80" s="8" t="e">
        <f t="shared" ca="1" si="134"/>
        <v>#N/A</v>
      </c>
      <c r="AS80" s="8" t="e">
        <f t="shared" ca="1" si="135"/>
        <v>#N/A</v>
      </c>
      <c r="AT80" s="8" t="e">
        <f t="shared" ca="1" si="136"/>
        <v>#N/A</v>
      </c>
      <c r="AU80" s="8" t="e">
        <f t="shared" si="110"/>
        <v>#N/A</v>
      </c>
      <c r="AV80" s="8" t="e">
        <f t="shared" ca="1" si="137"/>
        <v>#N/A</v>
      </c>
      <c r="AX80" s="7" t="str">
        <f t="shared" si="111"/>
        <v/>
      </c>
      <c r="AY80" s="2" t="str">
        <f t="shared" si="112"/>
        <v/>
      </c>
      <c r="BA80" s="2">
        <v>72</v>
      </c>
      <c r="BB80">
        <f t="shared" ca="1" si="113"/>
        <v>3</v>
      </c>
      <c r="BC80" s="14" t="str">
        <f t="shared" si="114"/>
        <v/>
      </c>
      <c r="BD80" s="5" t="e">
        <f t="shared" si="91"/>
        <v>#N/A</v>
      </c>
      <c r="BE80" s="5" t="e">
        <f t="shared" si="92"/>
        <v>#N/A</v>
      </c>
      <c r="BF80" s="5" t="e">
        <f t="shared" si="93"/>
        <v>#N/A</v>
      </c>
      <c r="BG80" s="5" t="e">
        <f t="shared" si="94"/>
        <v>#N/A</v>
      </c>
      <c r="BH80" s="5" t="e">
        <f t="shared" si="95"/>
        <v>#N/A</v>
      </c>
      <c r="BI80">
        <f t="shared" ca="1" si="115"/>
        <v>1</v>
      </c>
      <c r="BJ80" s="158" t="e">
        <f t="shared" si="116"/>
        <v>#N/A</v>
      </c>
      <c r="BK80" s="158" t="e">
        <f t="shared" si="117"/>
        <v>#N/A</v>
      </c>
      <c r="BL80" s="158" t="e">
        <f t="shared" si="118"/>
        <v>#N/A</v>
      </c>
      <c r="BM80" s="158" t="e">
        <f t="shared" si="119"/>
        <v>#N/A</v>
      </c>
      <c r="BN80" s="19"/>
      <c r="BQ80" s="4">
        <v>72</v>
      </c>
      <c r="BR80" s="4" t="e">
        <f t="shared" si="138"/>
        <v>#N/A</v>
      </c>
      <c r="BS80" s="4" t="e">
        <f t="shared" si="139"/>
        <v>#N/A</v>
      </c>
      <c r="BT80" s="4" t="e">
        <f t="shared" si="140"/>
        <v>#N/A</v>
      </c>
      <c r="BV80" s="4">
        <v>72</v>
      </c>
      <c r="BW80" s="4" t="e">
        <f t="shared" si="141"/>
        <v>#N/A</v>
      </c>
      <c r="BX80" s="4" t="e">
        <f t="shared" si="142"/>
        <v>#N/A</v>
      </c>
      <c r="BZ80" s="4">
        <v>72</v>
      </c>
      <c r="CA80" s="4" t="e">
        <f t="shared" si="143"/>
        <v>#N/A</v>
      </c>
      <c r="CB80" s="4" t="e">
        <f t="shared" si="144"/>
        <v>#N/A</v>
      </c>
      <c r="CC80" s="4" t="e">
        <f t="shared" si="145"/>
        <v>#N/A</v>
      </c>
      <c r="CD80" s="4" t="e">
        <f t="shared" si="146"/>
        <v>#N/A</v>
      </c>
      <c r="CG80" s="4">
        <v>72</v>
      </c>
      <c r="CH80" s="4" t="e">
        <f t="shared" si="120"/>
        <v>#N/A</v>
      </c>
      <c r="CI80" s="4" t="e">
        <f t="shared" si="121"/>
        <v>#N/A</v>
      </c>
      <c r="CJ80" s="4" t="e">
        <f t="shared" si="122"/>
        <v>#N/A</v>
      </c>
      <c r="CL80">
        <f t="shared" si="96"/>
        <v>0</v>
      </c>
      <c r="CM80">
        <f t="shared" si="97"/>
        <v>0</v>
      </c>
    </row>
    <row r="81" spans="2:91" ht="15.75" thickBot="1" x14ac:dyDescent="0.3">
      <c r="B81">
        <f t="shared" si="98"/>
        <v>0</v>
      </c>
      <c r="C81" s="16">
        <v>73</v>
      </c>
      <c r="D81" s="15" t="str">
        <f>IF('Front sheet'!$I26="","",'Front sheet'!$I26)</f>
        <v/>
      </c>
      <c r="E81" s="149" t="e">
        <f>IF('Front sheet'!K26="",NA(),'Front sheet'!K26)</f>
        <v>#N/A</v>
      </c>
      <c r="F81" s="196" t="e">
        <f>IF('Front sheet'!K26="",NA(),'Front sheet'!J26/'Front sheet'!K26)</f>
        <v>#N/A</v>
      </c>
      <c r="G81" s="205">
        <f t="shared" ca="1" si="99"/>
        <v>0.87525423728813556</v>
      </c>
      <c r="H81" s="201" t="e">
        <f t="shared" ca="1" si="123"/>
        <v>#N/A</v>
      </c>
      <c r="I81" s="157" t="e">
        <f t="shared" ca="1" si="124"/>
        <v>#N/A</v>
      </c>
      <c r="J81" s="151" t="e">
        <f>IF('Front sheet'!K26="",NA(),'Front sheet'!J26)</f>
        <v>#N/A</v>
      </c>
      <c r="K81" s="10" t="str">
        <f t="shared" si="100"/>
        <v/>
      </c>
      <c r="L81" s="9" t="e">
        <f t="shared" ca="1" si="101"/>
        <v>#N/A</v>
      </c>
      <c r="M81" s="8" t="e">
        <f t="shared" ca="1" si="102"/>
        <v>#N/A</v>
      </c>
      <c r="N81" t="e">
        <f t="shared" ca="1" si="103"/>
        <v>#N/A</v>
      </c>
      <c r="O81" s="8" t="e">
        <f t="shared" ca="1" si="147"/>
        <v>#N/A</v>
      </c>
      <c r="P81" t="e">
        <f t="shared" ca="1" si="104"/>
        <v>#N/A</v>
      </c>
      <c r="Q81" s="8">
        <f>IF(ISERROR($F81),0,IF($F81&gt;$H81,MAX($Q$8:Q80)+1,0))</f>
        <v>0</v>
      </c>
      <c r="R81" s="8">
        <f>IF(ISERROR($F81),0,IF($F81&lt;$I81,MAX($R$8:R80)+1,0))</f>
        <v>0</v>
      </c>
      <c r="T81" s="8">
        <f t="shared" si="105"/>
        <v>0</v>
      </c>
      <c r="U81" s="8">
        <f t="shared" ca="1" si="125"/>
        <v>0</v>
      </c>
      <c r="W81" s="8">
        <f t="shared" si="106"/>
        <v>0</v>
      </c>
      <c r="X81" s="8">
        <f t="shared" ca="1" si="126"/>
        <v>0</v>
      </c>
      <c r="Z81" s="8">
        <f t="shared" si="107"/>
        <v>0</v>
      </c>
      <c r="AA81" s="8">
        <f t="shared" si="127"/>
        <v>0</v>
      </c>
      <c r="AC81" s="8">
        <f t="shared" si="108"/>
        <v>0</v>
      </c>
      <c r="AD81" s="8">
        <f t="shared" si="128"/>
        <v>0</v>
      </c>
      <c r="AF81" s="8">
        <f t="shared" si="129"/>
        <v>0</v>
      </c>
      <c r="AG81" s="8">
        <f t="shared" si="130"/>
        <v>0</v>
      </c>
      <c r="AH81" s="8">
        <f t="shared" si="131"/>
        <v>0</v>
      </c>
      <c r="AI81" s="8">
        <f t="shared" si="132"/>
        <v>0</v>
      </c>
      <c r="AK81" s="11" t="e">
        <f t="shared" si="109"/>
        <v>#N/A</v>
      </c>
      <c r="AL81" s="8"/>
      <c r="AN81" s="8"/>
      <c r="AO81" s="8"/>
      <c r="AP81" s="8" t="e">
        <f>IF(C81&lt;=$E$3,IF(OR('Front sheet'!$Q$3="",'Front sheet'!$Q$3=0),NA(),'Front sheet'!$Q$3),NA())</f>
        <v>#N/A</v>
      </c>
      <c r="AQ81" s="8" t="e">
        <f t="shared" ca="1" si="133"/>
        <v>#N/A</v>
      </c>
      <c r="AR81" s="8" t="e">
        <f t="shared" ca="1" si="134"/>
        <v>#N/A</v>
      </c>
      <c r="AS81" s="8" t="e">
        <f t="shared" ca="1" si="135"/>
        <v>#N/A</v>
      </c>
      <c r="AT81" s="8" t="e">
        <f t="shared" ca="1" si="136"/>
        <v>#N/A</v>
      </c>
      <c r="AU81" s="8" t="e">
        <f t="shared" si="110"/>
        <v>#N/A</v>
      </c>
      <c r="AV81" s="8" t="e">
        <f t="shared" ca="1" si="137"/>
        <v>#N/A</v>
      </c>
      <c r="AX81" s="7" t="str">
        <f t="shared" si="111"/>
        <v/>
      </c>
      <c r="AY81" s="2" t="str">
        <f t="shared" si="112"/>
        <v/>
      </c>
      <c r="BA81" s="2">
        <v>73</v>
      </c>
      <c r="BB81">
        <f t="shared" ca="1" si="113"/>
        <v>3</v>
      </c>
      <c r="BC81" s="14" t="str">
        <f t="shared" si="114"/>
        <v/>
      </c>
      <c r="BD81" s="5" t="e">
        <f t="shared" si="91"/>
        <v>#N/A</v>
      </c>
      <c r="BE81" s="5" t="e">
        <f t="shared" si="92"/>
        <v>#N/A</v>
      </c>
      <c r="BF81" s="5" t="e">
        <f t="shared" si="93"/>
        <v>#N/A</v>
      </c>
      <c r="BG81" s="5" t="e">
        <f t="shared" si="94"/>
        <v>#N/A</v>
      </c>
      <c r="BH81" s="5" t="e">
        <f t="shared" si="95"/>
        <v>#N/A</v>
      </c>
      <c r="BI81">
        <f t="shared" ca="1" si="115"/>
        <v>1</v>
      </c>
      <c r="BJ81" s="158" t="e">
        <f t="shared" si="116"/>
        <v>#N/A</v>
      </c>
      <c r="BK81" s="158" t="e">
        <f t="shared" si="117"/>
        <v>#N/A</v>
      </c>
      <c r="BL81" s="158" t="e">
        <f t="shared" si="118"/>
        <v>#N/A</v>
      </c>
      <c r="BM81" s="158" t="e">
        <f t="shared" si="119"/>
        <v>#N/A</v>
      </c>
      <c r="BN81" s="19"/>
      <c r="BQ81" s="4">
        <v>73</v>
      </c>
      <c r="BR81" s="4" t="e">
        <f t="shared" si="138"/>
        <v>#N/A</v>
      </c>
      <c r="BS81" s="4" t="e">
        <f t="shared" si="139"/>
        <v>#N/A</v>
      </c>
      <c r="BT81" s="4" t="e">
        <f t="shared" si="140"/>
        <v>#N/A</v>
      </c>
      <c r="BV81" s="4">
        <v>73</v>
      </c>
      <c r="BW81" s="4" t="e">
        <f t="shared" si="141"/>
        <v>#N/A</v>
      </c>
      <c r="BX81" s="4" t="e">
        <f t="shared" si="142"/>
        <v>#N/A</v>
      </c>
      <c r="BZ81" s="4">
        <v>73</v>
      </c>
      <c r="CA81" s="4" t="e">
        <f t="shared" si="143"/>
        <v>#N/A</v>
      </c>
      <c r="CB81" s="4" t="e">
        <f t="shared" si="144"/>
        <v>#N/A</v>
      </c>
      <c r="CC81" s="4" t="e">
        <f t="shared" si="145"/>
        <v>#N/A</v>
      </c>
      <c r="CD81" s="4" t="e">
        <f t="shared" si="146"/>
        <v>#N/A</v>
      </c>
      <c r="CG81" s="4">
        <v>73</v>
      </c>
      <c r="CH81" s="4" t="e">
        <f t="shared" si="120"/>
        <v>#N/A</v>
      </c>
      <c r="CI81" s="4" t="e">
        <f t="shared" si="121"/>
        <v>#N/A</v>
      </c>
      <c r="CJ81" s="4" t="e">
        <f t="shared" si="122"/>
        <v>#N/A</v>
      </c>
      <c r="CL81">
        <f t="shared" si="96"/>
        <v>0</v>
      </c>
      <c r="CM81">
        <f t="shared" si="97"/>
        <v>0</v>
      </c>
    </row>
    <row r="82" spans="2:91" ht="15.75" thickBot="1" x14ac:dyDescent="0.3">
      <c r="B82">
        <f t="shared" si="98"/>
        <v>0</v>
      </c>
      <c r="C82" s="16">
        <v>74</v>
      </c>
      <c r="D82" s="15" t="str">
        <f>IF('Front sheet'!$I27="","",'Front sheet'!$I27)</f>
        <v/>
      </c>
      <c r="E82" s="149" t="e">
        <f>IF('Front sheet'!K27="",NA(),'Front sheet'!K27)</f>
        <v>#N/A</v>
      </c>
      <c r="F82" s="196" t="e">
        <f>IF('Front sheet'!K27="",NA(),'Front sheet'!J27/'Front sheet'!K27)</f>
        <v>#N/A</v>
      </c>
      <c r="G82" s="205">
        <f t="shared" ca="1" si="99"/>
        <v>0.87525423728813556</v>
      </c>
      <c r="H82" s="201" t="e">
        <f t="shared" ca="1" si="123"/>
        <v>#N/A</v>
      </c>
      <c r="I82" s="157" t="e">
        <f t="shared" ca="1" si="124"/>
        <v>#N/A</v>
      </c>
      <c r="J82" s="151" t="e">
        <f>IF('Front sheet'!K27="",NA(),'Front sheet'!J27)</f>
        <v>#N/A</v>
      </c>
      <c r="K82" s="10" t="str">
        <f t="shared" si="100"/>
        <v/>
      </c>
      <c r="L82" s="9" t="e">
        <f t="shared" ca="1" si="101"/>
        <v>#N/A</v>
      </c>
      <c r="M82" s="8" t="e">
        <f t="shared" ca="1" si="102"/>
        <v>#N/A</v>
      </c>
      <c r="N82" t="e">
        <f t="shared" ca="1" si="103"/>
        <v>#N/A</v>
      </c>
      <c r="O82" s="8" t="e">
        <f t="shared" ca="1" si="147"/>
        <v>#N/A</v>
      </c>
      <c r="P82" t="e">
        <f t="shared" ca="1" si="104"/>
        <v>#N/A</v>
      </c>
      <c r="Q82" s="8">
        <f>IF(ISERROR($F82),0,IF($F82&gt;$H82,MAX($Q$8:Q81)+1,0))</f>
        <v>0</v>
      </c>
      <c r="R82" s="8">
        <f>IF(ISERROR($F82),0,IF($F82&lt;$I82,MAX($R$8:R81)+1,0))</f>
        <v>0</v>
      </c>
      <c r="T82" s="8">
        <f t="shared" si="105"/>
        <v>0</v>
      </c>
      <c r="U82" s="8">
        <f t="shared" ca="1" si="125"/>
        <v>0</v>
      </c>
      <c r="W82" s="8">
        <f t="shared" si="106"/>
        <v>0</v>
      </c>
      <c r="X82" s="8">
        <f t="shared" ca="1" si="126"/>
        <v>0</v>
      </c>
      <c r="Z82" s="8">
        <f t="shared" si="107"/>
        <v>0</v>
      </c>
      <c r="AA82" s="8">
        <f t="shared" si="127"/>
        <v>0</v>
      </c>
      <c r="AC82" s="8">
        <f t="shared" si="108"/>
        <v>0</v>
      </c>
      <c r="AD82" s="8">
        <f t="shared" si="128"/>
        <v>0</v>
      </c>
      <c r="AF82" s="8">
        <f t="shared" si="129"/>
        <v>0</v>
      </c>
      <c r="AG82" s="8">
        <f t="shared" si="130"/>
        <v>0</v>
      </c>
      <c r="AH82" s="8">
        <f t="shared" si="131"/>
        <v>0</v>
      </c>
      <c r="AI82" s="8">
        <f t="shared" si="132"/>
        <v>0</v>
      </c>
      <c r="AK82" s="11" t="e">
        <f t="shared" si="109"/>
        <v>#N/A</v>
      </c>
      <c r="AL82" s="8"/>
      <c r="AN82" s="8"/>
      <c r="AO82" s="8"/>
      <c r="AP82" s="8" t="e">
        <f>IF(C82&lt;=$E$3,IF(OR('Front sheet'!$Q$3="",'Front sheet'!$Q$3=0),NA(),'Front sheet'!$Q$3),NA())</f>
        <v>#N/A</v>
      </c>
      <c r="AQ82" s="8" t="e">
        <f t="shared" ca="1" si="133"/>
        <v>#N/A</v>
      </c>
      <c r="AR82" s="8" t="e">
        <f t="shared" ca="1" si="134"/>
        <v>#N/A</v>
      </c>
      <c r="AS82" s="8" t="e">
        <f t="shared" ca="1" si="135"/>
        <v>#N/A</v>
      </c>
      <c r="AT82" s="8" t="e">
        <f t="shared" ca="1" si="136"/>
        <v>#N/A</v>
      </c>
      <c r="AU82" s="8" t="e">
        <f t="shared" si="110"/>
        <v>#N/A</v>
      </c>
      <c r="AV82" s="8" t="e">
        <f t="shared" ca="1" si="137"/>
        <v>#N/A</v>
      </c>
      <c r="AX82" s="7" t="str">
        <f t="shared" si="111"/>
        <v/>
      </c>
      <c r="AY82" s="2" t="str">
        <f t="shared" si="112"/>
        <v/>
      </c>
      <c r="BA82" s="2">
        <v>74</v>
      </c>
      <c r="BB82">
        <f t="shared" ca="1" si="113"/>
        <v>3</v>
      </c>
      <c r="BC82" s="14" t="str">
        <f t="shared" si="114"/>
        <v/>
      </c>
      <c r="BD82" s="5" t="e">
        <f t="shared" si="91"/>
        <v>#N/A</v>
      </c>
      <c r="BE82" s="5" t="e">
        <f t="shared" si="92"/>
        <v>#N/A</v>
      </c>
      <c r="BF82" s="5" t="e">
        <f t="shared" si="93"/>
        <v>#N/A</v>
      </c>
      <c r="BG82" s="5" t="e">
        <f t="shared" si="94"/>
        <v>#N/A</v>
      </c>
      <c r="BH82" s="5" t="e">
        <f t="shared" si="95"/>
        <v>#N/A</v>
      </c>
      <c r="BI82">
        <f t="shared" ca="1" si="115"/>
        <v>1</v>
      </c>
      <c r="BJ82" s="158" t="e">
        <f t="shared" si="116"/>
        <v>#N/A</v>
      </c>
      <c r="BK82" s="158" t="e">
        <f t="shared" si="117"/>
        <v>#N/A</v>
      </c>
      <c r="BL82" s="158" t="e">
        <f t="shared" si="118"/>
        <v>#N/A</v>
      </c>
      <c r="BM82" s="158" t="e">
        <f t="shared" si="119"/>
        <v>#N/A</v>
      </c>
      <c r="BN82" s="19"/>
      <c r="BQ82" s="4">
        <v>74</v>
      </c>
      <c r="BR82" s="4" t="e">
        <f t="shared" si="138"/>
        <v>#N/A</v>
      </c>
      <c r="BS82" s="4" t="e">
        <f t="shared" si="139"/>
        <v>#N/A</v>
      </c>
      <c r="BT82" s="4" t="e">
        <f t="shared" si="140"/>
        <v>#N/A</v>
      </c>
      <c r="BV82" s="4">
        <v>74</v>
      </c>
      <c r="BW82" s="4" t="e">
        <f t="shared" si="141"/>
        <v>#N/A</v>
      </c>
      <c r="BX82" s="4" t="e">
        <f t="shared" si="142"/>
        <v>#N/A</v>
      </c>
      <c r="BZ82" s="4">
        <v>74</v>
      </c>
      <c r="CA82" s="4" t="e">
        <f t="shared" si="143"/>
        <v>#N/A</v>
      </c>
      <c r="CB82" s="4" t="e">
        <f t="shared" si="144"/>
        <v>#N/A</v>
      </c>
      <c r="CC82" s="4" t="e">
        <f t="shared" si="145"/>
        <v>#N/A</v>
      </c>
      <c r="CD82" s="4" t="e">
        <f t="shared" si="146"/>
        <v>#N/A</v>
      </c>
      <c r="CG82" s="4">
        <v>74</v>
      </c>
      <c r="CH82" s="4" t="e">
        <f t="shared" si="120"/>
        <v>#N/A</v>
      </c>
      <c r="CI82" s="4" t="e">
        <f t="shared" si="121"/>
        <v>#N/A</v>
      </c>
      <c r="CJ82" s="4" t="e">
        <f t="shared" si="122"/>
        <v>#N/A</v>
      </c>
      <c r="CL82">
        <f t="shared" si="96"/>
        <v>0</v>
      </c>
      <c r="CM82">
        <f t="shared" si="97"/>
        <v>0</v>
      </c>
    </row>
    <row r="83" spans="2:91" ht="15.75" thickBot="1" x14ac:dyDescent="0.3">
      <c r="B83">
        <f t="shared" si="98"/>
        <v>0</v>
      </c>
      <c r="C83" s="16">
        <v>75</v>
      </c>
      <c r="D83" s="15" t="str">
        <f>IF('Front sheet'!$I28="","",'Front sheet'!$I28)</f>
        <v/>
      </c>
      <c r="E83" s="149" t="e">
        <f>IF('Front sheet'!K28="",NA(),'Front sheet'!K28)</f>
        <v>#N/A</v>
      </c>
      <c r="F83" s="196" t="e">
        <f>IF('Front sheet'!K28="",NA(),'Front sheet'!J28/'Front sheet'!K28)</f>
        <v>#N/A</v>
      </c>
      <c r="G83" s="205">
        <f t="shared" ca="1" si="99"/>
        <v>0.87525423728813556</v>
      </c>
      <c r="H83" s="201" t="e">
        <f t="shared" ca="1" si="123"/>
        <v>#N/A</v>
      </c>
      <c r="I83" s="157" t="e">
        <f t="shared" ca="1" si="124"/>
        <v>#N/A</v>
      </c>
      <c r="J83" s="151" t="e">
        <f>IF('Front sheet'!K28="",NA(),'Front sheet'!J28)</f>
        <v>#N/A</v>
      </c>
      <c r="K83" s="10" t="str">
        <f t="shared" si="100"/>
        <v/>
      </c>
      <c r="L83" s="9" t="e">
        <f t="shared" ca="1" si="101"/>
        <v>#N/A</v>
      </c>
      <c r="M83" s="8" t="e">
        <f t="shared" ca="1" si="102"/>
        <v>#N/A</v>
      </c>
      <c r="N83" t="e">
        <f t="shared" ca="1" si="103"/>
        <v>#N/A</v>
      </c>
      <c r="O83" s="8" t="e">
        <f t="shared" ca="1" si="147"/>
        <v>#N/A</v>
      </c>
      <c r="P83" t="e">
        <f t="shared" ca="1" si="104"/>
        <v>#N/A</v>
      </c>
      <c r="Q83" s="8">
        <f>IF(ISERROR($F83),0,IF($F83&gt;$H83,MAX($Q$8:Q82)+1,0))</f>
        <v>0</v>
      </c>
      <c r="R83" s="8">
        <f>IF(ISERROR($F83),0,IF($F83&lt;$I83,MAX($R$8:R82)+1,0))</f>
        <v>0</v>
      </c>
      <c r="T83" s="8">
        <f t="shared" si="105"/>
        <v>0</v>
      </c>
      <c r="U83" s="8">
        <f t="shared" ca="1" si="125"/>
        <v>0</v>
      </c>
      <c r="W83" s="8">
        <f t="shared" si="106"/>
        <v>0</v>
      </c>
      <c r="X83" s="8">
        <f t="shared" ca="1" si="126"/>
        <v>0</v>
      </c>
      <c r="Z83" s="8">
        <f t="shared" si="107"/>
        <v>0</v>
      </c>
      <c r="AA83" s="8">
        <f t="shared" si="127"/>
        <v>0</v>
      </c>
      <c r="AC83" s="8">
        <f t="shared" si="108"/>
        <v>0</v>
      </c>
      <c r="AD83" s="8">
        <f t="shared" si="128"/>
        <v>0</v>
      </c>
      <c r="AF83" s="8">
        <f t="shared" si="129"/>
        <v>0</v>
      </c>
      <c r="AG83" s="8">
        <f t="shared" si="130"/>
        <v>0</v>
      </c>
      <c r="AH83" s="8">
        <f t="shared" si="131"/>
        <v>0</v>
      </c>
      <c r="AI83" s="8">
        <f t="shared" si="132"/>
        <v>0</v>
      </c>
      <c r="AK83" s="11" t="e">
        <f t="shared" si="109"/>
        <v>#N/A</v>
      </c>
      <c r="AL83" s="8"/>
      <c r="AN83" s="8"/>
      <c r="AO83" s="8"/>
      <c r="AP83" s="8" t="e">
        <f>IF(C83&lt;=$E$3,IF(OR('Front sheet'!$Q$3="",'Front sheet'!$Q$3=0),NA(),'Front sheet'!$Q$3),NA())</f>
        <v>#N/A</v>
      </c>
      <c r="AQ83" s="8" t="e">
        <f t="shared" ca="1" si="133"/>
        <v>#N/A</v>
      </c>
      <c r="AR83" s="8" t="e">
        <f t="shared" ca="1" si="134"/>
        <v>#N/A</v>
      </c>
      <c r="AS83" s="8" t="e">
        <f t="shared" ca="1" si="135"/>
        <v>#N/A</v>
      </c>
      <c r="AT83" s="8" t="e">
        <f t="shared" ca="1" si="136"/>
        <v>#N/A</v>
      </c>
      <c r="AU83" s="8" t="e">
        <f t="shared" si="110"/>
        <v>#N/A</v>
      </c>
      <c r="AV83" s="8" t="e">
        <f t="shared" ca="1" si="137"/>
        <v>#N/A</v>
      </c>
      <c r="AX83" s="7" t="str">
        <f t="shared" si="111"/>
        <v/>
      </c>
      <c r="AY83" s="2" t="str">
        <f t="shared" si="112"/>
        <v/>
      </c>
      <c r="BA83" s="2">
        <v>75</v>
      </c>
      <c r="BB83">
        <f t="shared" ca="1" si="113"/>
        <v>3</v>
      </c>
      <c r="BC83" s="14" t="str">
        <f t="shared" si="114"/>
        <v/>
      </c>
      <c r="BD83" s="5" t="e">
        <f t="shared" si="91"/>
        <v>#N/A</v>
      </c>
      <c r="BE83" s="5" t="e">
        <f t="shared" si="92"/>
        <v>#N/A</v>
      </c>
      <c r="BF83" s="5" t="e">
        <f t="shared" si="93"/>
        <v>#N/A</v>
      </c>
      <c r="BG83" s="5" t="e">
        <f t="shared" si="94"/>
        <v>#N/A</v>
      </c>
      <c r="BH83" s="5" t="e">
        <f t="shared" si="95"/>
        <v>#N/A</v>
      </c>
      <c r="BI83">
        <f t="shared" ca="1" si="115"/>
        <v>1</v>
      </c>
      <c r="BJ83" s="158" t="e">
        <f t="shared" si="116"/>
        <v>#N/A</v>
      </c>
      <c r="BK83" s="158" t="e">
        <f t="shared" si="117"/>
        <v>#N/A</v>
      </c>
      <c r="BL83" s="158" t="e">
        <f t="shared" si="118"/>
        <v>#N/A</v>
      </c>
      <c r="BM83" s="158" t="e">
        <f t="shared" si="119"/>
        <v>#N/A</v>
      </c>
      <c r="BN83" s="19"/>
      <c r="BQ83" s="4">
        <v>75</v>
      </c>
      <c r="BR83" s="4" t="e">
        <f t="shared" si="138"/>
        <v>#N/A</v>
      </c>
      <c r="BS83" s="4" t="e">
        <f t="shared" si="139"/>
        <v>#N/A</v>
      </c>
      <c r="BT83" s="4" t="e">
        <f t="shared" si="140"/>
        <v>#N/A</v>
      </c>
      <c r="BV83" s="4">
        <v>75</v>
      </c>
      <c r="BW83" s="4" t="e">
        <f t="shared" si="141"/>
        <v>#N/A</v>
      </c>
      <c r="BX83" s="4" t="e">
        <f t="shared" si="142"/>
        <v>#N/A</v>
      </c>
      <c r="BZ83" s="4">
        <v>75</v>
      </c>
      <c r="CA83" s="4" t="e">
        <f t="shared" si="143"/>
        <v>#N/A</v>
      </c>
      <c r="CB83" s="4" t="e">
        <f t="shared" si="144"/>
        <v>#N/A</v>
      </c>
      <c r="CC83" s="4" t="e">
        <f t="shared" si="145"/>
        <v>#N/A</v>
      </c>
      <c r="CD83" s="4" t="e">
        <f t="shared" si="146"/>
        <v>#N/A</v>
      </c>
      <c r="CG83" s="4">
        <v>75</v>
      </c>
      <c r="CH83" s="4" t="e">
        <f t="shared" si="120"/>
        <v>#N/A</v>
      </c>
      <c r="CI83" s="4" t="e">
        <f t="shared" si="121"/>
        <v>#N/A</v>
      </c>
      <c r="CJ83" s="4" t="e">
        <f t="shared" si="122"/>
        <v>#N/A</v>
      </c>
      <c r="CL83">
        <f t="shared" si="96"/>
        <v>0</v>
      </c>
      <c r="CM83">
        <f t="shared" si="97"/>
        <v>0</v>
      </c>
    </row>
    <row r="84" spans="2:91" ht="15.75" thickBot="1" x14ac:dyDescent="0.3">
      <c r="B84">
        <f t="shared" si="98"/>
        <v>0</v>
      </c>
      <c r="C84" s="16">
        <v>76</v>
      </c>
      <c r="D84" s="15" t="str">
        <f>IF('Front sheet'!$I29="","",'Front sheet'!$I29)</f>
        <v/>
      </c>
      <c r="E84" s="149" t="e">
        <f>IF('Front sheet'!K29="",NA(),'Front sheet'!K29)</f>
        <v>#N/A</v>
      </c>
      <c r="F84" s="196" t="e">
        <f>IF('Front sheet'!K29="",NA(),'Front sheet'!J29/'Front sheet'!K29)</f>
        <v>#N/A</v>
      </c>
      <c r="G84" s="205">
        <f t="shared" ca="1" si="99"/>
        <v>0.87525423728813556</v>
      </c>
      <c r="H84" s="201" t="e">
        <f t="shared" ca="1" si="123"/>
        <v>#N/A</v>
      </c>
      <c r="I84" s="157" t="e">
        <f t="shared" ca="1" si="124"/>
        <v>#N/A</v>
      </c>
      <c r="J84" s="151" t="e">
        <f>IF('Front sheet'!K29="",NA(),'Front sheet'!J29)</f>
        <v>#N/A</v>
      </c>
      <c r="K84" s="10" t="str">
        <f t="shared" si="100"/>
        <v/>
      </c>
      <c r="L84" s="9" t="e">
        <f t="shared" ca="1" si="101"/>
        <v>#N/A</v>
      </c>
      <c r="M84" s="8" t="e">
        <f t="shared" ca="1" si="102"/>
        <v>#N/A</v>
      </c>
      <c r="N84" t="e">
        <f t="shared" ca="1" si="103"/>
        <v>#N/A</v>
      </c>
      <c r="O84" s="8" t="e">
        <f t="shared" ca="1" si="147"/>
        <v>#N/A</v>
      </c>
      <c r="P84" t="e">
        <f t="shared" ca="1" si="104"/>
        <v>#N/A</v>
      </c>
      <c r="Q84" s="8">
        <f>IF(ISERROR($F84),0,IF($F84&gt;$H84,MAX($Q$8:Q83)+1,0))</f>
        <v>0</v>
      </c>
      <c r="R84" s="8">
        <f>IF(ISERROR($F84),0,IF($F84&lt;$I84,MAX($R$8:R83)+1,0))</f>
        <v>0</v>
      </c>
      <c r="T84" s="8">
        <f t="shared" si="105"/>
        <v>0</v>
      </c>
      <c r="U84" s="8">
        <f t="shared" ca="1" si="125"/>
        <v>0</v>
      </c>
      <c r="W84" s="8">
        <f t="shared" si="106"/>
        <v>0</v>
      </c>
      <c r="X84" s="8">
        <f t="shared" ca="1" si="126"/>
        <v>0</v>
      </c>
      <c r="Z84" s="8">
        <f t="shared" si="107"/>
        <v>0</v>
      </c>
      <c r="AA84" s="8">
        <f t="shared" si="127"/>
        <v>0</v>
      </c>
      <c r="AC84" s="8">
        <f t="shared" si="108"/>
        <v>0</v>
      </c>
      <c r="AD84" s="8">
        <f t="shared" si="128"/>
        <v>0</v>
      </c>
      <c r="AF84" s="8">
        <f t="shared" si="129"/>
        <v>0</v>
      </c>
      <c r="AG84" s="8">
        <f t="shared" si="130"/>
        <v>0</v>
      </c>
      <c r="AH84" s="8">
        <f t="shared" si="131"/>
        <v>0</v>
      </c>
      <c r="AI84" s="8">
        <f t="shared" si="132"/>
        <v>0</v>
      </c>
      <c r="AK84" s="11" t="e">
        <f t="shared" si="109"/>
        <v>#N/A</v>
      </c>
      <c r="AL84" s="8"/>
      <c r="AN84" s="8"/>
      <c r="AO84" s="8"/>
      <c r="AP84" s="8" t="e">
        <f>IF(C84&lt;=$E$3,IF(OR('Front sheet'!$Q$3="",'Front sheet'!$Q$3=0),NA(),'Front sheet'!$Q$3),NA())</f>
        <v>#N/A</v>
      </c>
      <c r="AQ84" s="8" t="e">
        <f t="shared" ca="1" si="133"/>
        <v>#N/A</v>
      </c>
      <c r="AR84" s="8" t="e">
        <f t="shared" ca="1" si="134"/>
        <v>#N/A</v>
      </c>
      <c r="AS84" s="8" t="e">
        <f t="shared" ca="1" si="135"/>
        <v>#N/A</v>
      </c>
      <c r="AT84" s="8" t="e">
        <f t="shared" ca="1" si="136"/>
        <v>#N/A</v>
      </c>
      <c r="AU84" s="8" t="e">
        <f t="shared" si="110"/>
        <v>#N/A</v>
      </c>
      <c r="AV84" s="8" t="e">
        <f t="shared" ca="1" si="137"/>
        <v>#N/A</v>
      </c>
      <c r="AX84" s="7" t="str">
        <f t="shared" si="111"/>
        <v/>
      </c>
      <c r="AY84" s="2" t="str">
        <f t="shared" si="112"/>
        <v/>
      </c>
      <c r="BA84" s="2">
        <v>76</v>
      </c>
      <c r="BB84">
        <f t="shared" ca="1" si="113"/>
        <v>3</v>
      </c>
      <c r="BC84" s="14" t="str">
        <f t="shared" si="114"/>
        <v/>
      </c>
      <c r="BD84" s="5" t="e">
        <f t="shared" si="91"/>
        <v>#N/A</v>
      </c>
      <c r="BE84" s="5" t="e">
        <f t="shared" si="92"/>
        <v>#N/A</v>
      </c>
      <c r="BF84" s="5" t="e">
        <f t="shared" si="93"/>
        <v>#N/A</v>
      </c>
      <c r="BG84" s="5" t="e">
        <f t="shared" si="94"/>
        <v>#N/A</v>
      </c>
      <c r="BH84" s="5" t="e">
        <f t="shared" si="95"/>
        <v>#N/A</v>
      </c>
      <c r="BI84">
        <f t="shared" ca="1" si="115"/>
        <v>1</v>
      </c>
      <c r="BJ84" s="158" t="e">
        <f t="shared" si="116"/>
        <v>#N/A</v>
      </c>
      <c r="BK84" s="158" t="e">
        <f t="shared" si="117"/>
        <v>#N/A</v>
      </c>
      <c r="BL84" s="158" t="e">
        <f t="shared" si="118"/>
        <v>#N/A</v>
      </c>
      <c r="BM84" s="158" t="e">
        <f t="shared" si="119"/>
        <v>#N/A</v>
      </c>
      <c r="BN84" s="19"/>
      <c r="BQ84" s="4">
        <v>76</v>
      </c>
      <c r="BR84" s="4" t="e">
        <f t="shared" si="138"/>
        <v>#N/A</v>
      </c>
      <c r="BS84" s="4" t="e">
        <f t="shared" si="139"/>
        <v>#N/A</v>
      </c>
      <c r="BT84" s="4" t="e">
        <f t="shared" si="140"/>
        <v>#N/A</v>
      </c>
      <c r="BV84" s="4">
        <v>76</v>
      </c>
      <c r="BW84" s="4" t="e">
        <f t="shared" si="141"/>
        <v>#N/A</v>
      </c>
      <c r="BX84" s="4" t="e">
        <f t="shared" si="142"/>
        <v>#N/A</v>
      </c>
      <c r="BZ84" s="4">
        <v>76</v>
      </c>
      <c r="CA84" s="4" t="e">
        <f t="shared" si="143"/>
        <v>#N/A</v>
      </c>
      <c r="CB84" s="4" t="e">
        <f t="shared" si="144"/>
        <v>#N/A</v>
      </c>
      <c r="CC84" s="4" t="e">
        <f t="shared" si="145"/>
        <v>#N/A</v>
      </c>
      <c r="CD84" s="4" t="e">
        <f t="shared" si="146"/>
        <v>#N/A</v>
      </c>
      <c r="CG84" s="4">
        <v>76</v>
      </c>
      <c r="CH84" s="4" t="e">
        <f t="shared" si="120"/>
        <v>#N/A</v>
      </c>
      <c r="CI84" s="4" t="e">
        <f t="shared" si="121"/>
        <v>#N/A</v>
      </c>
      <c r="CJ84" s="4" t="e">
        <f t="shared" si="122"/>
        <v>#N/A</v>
      </c>
      <c r="CL84">
        <f t="shared" si="96"/>
        <v>0</v>
      </c>
      <c r="CM84">
        <f t="shared" si="97"/>
        <v>0</v>
      </c>
    </row>
    <row r="85" spans="2:91" ht="15.75" thickBot="1" x14ac:dyDescent="0.3">
      <c r="B85">
        <f t="shared" si="98"/>
        <v>0</v>
      </c>
      <c r="C85" s="13">
        <v>77</v>
      </c>
      <c r="D85" s="12" t="str">
        <f>IF('Front sheet'!$I30="","",'Front sheet'!$I30)</f>
        <v/>
      </c>
      <c r="E85" s="149" t="e">
        <f>IF('Front sheet'!K30="",NA(),'Front sheet'!K30)</f>
        <v>#N/A</v>
      </c>
      <c r="F85" s="197" t="e">
        <f>IF('Front sheet'!K30="",NA(),'Front sheet'!J30/'Front sheet'!K30)</f>
        <v>#N/A</v>
      </c>
      <c r="G85" s="207">
        <f t="shared" ca="1" si="99"/>
        <v>0.87525423728813556</v>
      </c>
      <c r="H85" s="202" t="e">
        <f t="shared" ca="1" si="123"/>
        <v>#N/A</v>
      </c>
      <c r="I85" s="193" t="e">
        <f t="shared" ca="1" si="124"/>
        <v>#N/A</v>
      </c>
      <c r="J85" s="153" t="e">
        <f>IF('Front sheet'!K30="",NA(),'Front sheet'!J30)</f>
        <v>#N/A</v>
      </c>
      <c r="K85" s="10" t="str">
        <f t="shared" si="100"/>
        <v/>
      </c>
      <c r="L85" s="9" t="e">
        <f t="shared" ca="1" si="101"/>
        <v>#N/A</v>
      </c>
      <c r="M85" s="8" t="e">
        <f t="shared" ca="1" si="102"/>
        <v>#N/A</v>
      </c>
      <c r="N85" t="e">
        <f t="shared" ca="1" si="103"/>
        <v>#N/A</v>
      </c>
      <c r="O85" s="8" t="e">
        <f t="shared" ca="1" si="147"/>
        <v>#N/A</v>
      </c>
      <c r="P85" t="e">
        <f t="shared" ca="1" si="104"/>
        <v>#N/A</v>
      </c>
      <c r="Q85" s="8">
        <f>IF(ISERROR($F85),0,IF($F85&gt;$H85,MAX($Q$8:Q84)+1,0))</f>
        <v>0</v>
      </c>
      <c r="R85" s="8">
        <f>IF(ISERROR($F85),0,IF($F85&lt;$I85,MAX($R$8:R84)+1,0))</f>
        <v>0</v>
      </c>
      <c r="T85" s="8">
        <f t="shared" si="105"/>
        <v>0</v>
      </c>
      <c r="U85" s="8">
        <f t="shared" ca="1" si="125"/>
        <v>0</v>
      </c>
      <c r="W85" s="8">
        <f t="shared" si="106"/>
        <v>0</v>
      </c>
      <c r="X85" s="8">
        <f t="shared" ca="1" si="126"/>
        <v>0</v>
      </c>
      <c r="Z85" s="8">
        <f t="shared" si="107"/>
        <v>0</v>
      </c>
      <c r="AA85" s="8">
        <f t="shared" si="127"/>
        <v>0</v>
      </c>
      <c r="AC85" s="8">
        <f t="shared" si="108"/>
        <v>0</v>
      </c>
      <c r="AD85" s="8">
        <f t="shared" si="128"/>
        <v>0</v>
      </c>
      <c r="AF85" s="8">
        <f t="shared" si="129"/>
        <v>0</v>
      </c>
      <c r="AG85" s="8">
        <f t="shared" si="130"/>
        <v>0</v>
      </c>
      <c r="AH85" s="8">
        <f t="shared" si="131"/>
        <v>0</v>
      </c>
      <c r="AI85" s="8">
        <f t="shared" si="132"/>
        <v>0</v>
      </c>
      <c r="AK85" s="11" t="e">
        <f t="shared" si="109"/>
        <v>#N/A</v>
      </c>
      <c r="AL85" s="8"/>
      <c r="AN85" s="8"/>
      <c r="AO85" s="8"/>
      <c r="AP85" s="8" t="e">
        <f>IF(C85&lt;=$E$3,IF(OR('Front sheet'!$Q$3="",'Front sheet'!$Q$3=0),NA(),'Front sheet'!$Q$3),NA())</f>
        <v>#N/A</v>
      </c>
      <c r="AQ85" s="8" t="e">
        <f t="shared" ca="1" si="133"/>
        <v>#N/A</v>
      </c>
      <c r="AR85" s="8" t="e">
        <f t="shared" ca="1" si="134"/>
        <v>#N/A</v>
      </c>
      <c r="AS85" s="8" t="e">
        <f t="shared" ca="1" si="135"/>
        <v>#N/A</v>
      </c>
      <c r="AT85" s="8" t="e">
        <f t="shared" ca="1" si="136"/>
        <v>#N/A</v>
      </c>
      <c r="AU85" s="8" t="e">
        <f t="shared" si="110"/>
        <v>#N/A</v>
      </c>
      <c r="AV85" s="8" t="e">
        <f t="shared" ca="1" si="137"/>
        <v>#N/A</v>
      </c>
      <c r="AX85" s="7" t="str">
        <f t="shared" si="111"/>
        <v/>
      </c>
      <c r="AY85" s="2" t="str">
        <f t="shared" si="112"/>
        <v/>
      </c>
      <c r="BA85" s="2">
        <v>77</v>
      </c>
      <c r="BB85">
        <f t="shared" ca="1" si="113"/>
        <v>3</v>
      </c>
      <c r="BC85" s="14" t="str">
        <f t="shared" si="114"/>
        <v/>
      </c>
      <c r="BD85" s="5" t="e">
        <f t="shared" si="91"/>
        <v>#N/A</v>
      </c>
      <c r="BE85" s="5" t="e">
        <f t="shared" si="92"/>
        <v>#N/A</v>
      </c>
      <c r="BF85" s="5" t="e">
        <f t="shared" si="93"/>
        <v>#N/A</v>
      </c>
      <c r="BG85" s="5" t="e">
        <f t="shared" si="94"/>
        <v>#N/A</v>
      </c>
      <c r="BH85" s="5" t="e">
        <f t="shared" si="95"/>
        <v>#N/A</v>
      </c>
      <c r="BI85">
        <f t="shared" ca="1" si="115"/>
        <v>1</v>
      </c>
      <c r="BJ85" s="158" t="e">
        <f t="shared" si="116"/>
        <v>#N/A</v>
      </c>
      <c r="BK85" s="158" t="e">
        <f t="shared" si="117"/>
        <v>#N/A</v>
      </c>
      <c r="BL85" s="158" t="e">
        <f t="shared" si="118"/>
        <v>#N/A</v>
      </c>
      <c r="BM85" s="158" t="e">
        <f t="shared" si="119"/>
        <v>#N/A</v>
      </c>
      <c r="BN85" s="19"/>
      <c r="BQ85" s="4">
        <v>77</v>
      </c>
      <c r="BR85" s="4" t="e">
        <f t="shared" si="138"/>
        <v>#N/A</v>
      </c>
      <c r="BS85" s="4" t="e">
        <f t="shared" si="139"/>
        <v>#N/A</v>
      </c>
      <c r="BT85" s="4" t="e">
        <f t="shared" si="140"/>
        <v>#N/A</v>
      </c>
      <c r="BV85" s="4">
        <v>77</v>
      </c>
      <c r="BW85" s="4" t="e">
        <f t="shared" si="141"/>
        <v>#N/A</v>
      </c>
      <c r="BX85" s="4" t="e">
        <f t="shared" si="142"/>
        <v>#N/A</v>
      </c>
      <c r="BZ85" s="4">
        <v>77</v>
      </c>
      <c r="CA85" s="4" t="e">
        <f t="shared" si="143"/>
        <v>#N/A</v>
      </c>
      <c r="CB85" s="4" t="e">
        <f t="shared" si="144"/>
        <v>#N/A</v>
      </c>
      <c r="CC85" s="4" t="e">
        <f t="shared" si="145"/>
        <v>#N/A</v>
      </c>
      <c r="CD85" s="4" t="e">
        <f t="shared" si="146"/>
        <v>#N/A</v>
      </c>
      <c r="CG85" s="4">
        <v>77</v>
      </c>
      <c r="CH85" s="4" t="e">
        <f t="shared" si="120"/>
        <v>#N/A</v>
      </c>
      <c r="CI85" s="4" t="e">
        <f t="shared" si="121"/>
        <v>#N/A</v>
      </c>
      <c r="CJ85" s="4" t="e">
        <f t="shared" si="122"/>
        <v>#N/A</v>
      </c>
      <c r="CL85">
        <f t="shared" si="96"/>
        <v>0</v>
      </c>
      <c r="CM85">
        <f t="shared" si="97"/>
        <v>0</v>
      </c>
    </row>
    <row r="86" spans="2:91" ht="15.75" thickBot="1" x14ac:dyDescent="0.3">
      <c r="B86">
        <f t="shared" si="98"/>
        <v>0</v>
      </c>
      <c r="C86" s="18">
        <v>78</v>
      </c>
      <c r="D86" s="17" t="str">
        <f>IF('Front sheet'!$I31="","",'Front sheet'!$I31)</f>
        <v/>
      </c>
      <c r="E86" s="149" t="e">
        <f>IF('Front sheet'!K31="",NA(),'Front sheet'!K31)</f>
        <v>#N/A</v>
      </c>
      <c r="F86" s="198" t="e">
        <f>IF('Front sheet'!K31="",NA(),'Front sheet'!J31/'Front sheet'!K31)</f>
        <v>#N/A</v>
      </c>
      <c r="G86" s="205">
        <f t="shared" ca="1" si="99"/>
        <v>0.87525423728813556</v>
      </c>
      <c r="H86" s="203" t="e">
        <f t="shared" ca="1" si="123"/>
        <v>#N/A</v>
      </c>
      <c r="I86" s="183" t="e">
        <f t="shared" ca="1" si="124"/>
        <v>#N/A</v>
      </c>
      <c r="J86" s="184" t="e">
        <f>IF('Front sheet'!K31="",NA(),'Front sheet'!J31)</f>
        <v>#N/A</v>
      </c>
      <c r="K86" s="10" t="str">
        <f t="shared" si="100"/>
        <v/>
      </c>
      <c r="L86" s="9" t="e">
        <f t="shared" ca="1" si="101"/>
        <v>#N/A</v>
      </c>
      <c r="M86" s="8" t="e">
        <f t="shared" ca="1" si="102"/>
        <v>#N/A</v>
      </c>
      <c r="N86" t="e">
        <f t="shared" ca="1" si="103"/>
        <v>#N/A</v>
      </c>
      <c r="O86" s="8" t="e">
        <f t="shared" ca="1" si="147"/>
        <v>#N/A</v>
      </c>
      <c r="P86" t="e">
        <f t="shared" ca="1" si="104"/>
        <v>#N/A</v>
      </c>
      <c r="Q86" s="8">
        <f>IF(ISERROR($F86),0,IF($F86&gt;$H86,MAX($Q$8:Q85)+1,0))</f>
        <v>0</v>
      </c>
      <c r="R86" s="8">
        <f>IF(ISERROR($F86),0,IF($F86&lt;$I86,MAX($R$8:R85)+1,0))</f>
        <v>0</v>
      </c>
      <c r="T86" s="8">
        <f t="shared" si="105"/>
        <v>0</v>
      </c>
      <c r="U86" s="8">
        <f t="shared" ca="1" si="125"/>
        <v>0</v>
      </c>
      <c r="W86" s="8">
        <f t="shared" si="106"/>
        <v>0</v>
      </c>
      <c r="X86" s="8">
        <f t="shared" ca="1" si="126"/>
        <v>0</v>
      </c>
      <c r="Z86" s="8">
        <f t="shared" si="107"/>
        <v>0</v>
      </c>
      <c r="AA86" s="8">
        <f t="shared" si="127"/>
        <v>0</v>
      </c>
      <c r="AC86" s="8">
        <f t="shared" si="108"/>
        <v>0</v>
      </c>
      <c r="AD86" s="8">
        <f t="shared" si="128"/>
        <v>0</v>
      </c>
      <c r="AF86" s="8">
        <f t="shared" si="129"/>
        <v>0</v>
      </c>
      <c r="AG86" s="8">
        <f t="shared" si="130"/>
        <v>0</v>
      </c>
      <c r="AH86" s="8">
        <f t="shared" si="131"/>
        <v>0</v>
      </c>
      <c r="AI86" s="8">
        <f t="shared" si="132"/>
        <v>0</v>
      </c>
      <c r="AK86" s="11" t="e">
        <f t="shared" si="109"/>
        <v>#N/A</v>
      </c>
      <c r="AL86" s="8"/>
      <c r="AN86" s="8"/>
      <c r="AO86" s="8"/>
      <c r="AP86" s="8" t="e">
        <f>IF(C86&lt;=$E$3,IF(OR('Front sheet'!$Q$3="",'Front sheet'!$Q$3=0),NA(),'Front sheet'!$Q$3),NA())</f>
        <v>#N/A</v>
      </c>
      <c r="AQ86" s="8" t="e">
        <f t="shared" ca="1" si="133"/>
        <v>#N/A</v>
      </c>
      <c r="AR86" s="8" t="e">
        <f t="shared" ca="1" si="134"/>
        <v>#N/A</v>
      </c>
      <c r="AS86" s="8" t="e">
        <f t="shared" ca="1" si="135"/>
        <v>#N/A</v>
      </c>
      <c r="AT86" s="8" t="e">
        <f t="shared" ca="1" si="136"/>
        <v>#N/A</v>
      </c>
      <c r="AU86" s="8" t="e">
        <f t="shared" si="110"/>
        <v>#N/A</v>
      </c>
      <c r="AV86" s="8" t="e">
        <f t="shared" ca="1" si="137"/>
        <v>#N/A</v>
      </c>
      <c r="AX86" s="7" t="str">
        <f t="shared" si="111"/>
        <v/>
      </c>
      <c r="AY86" s="2" t="str">
        <f t="shared" si="112"/>
        <v/>
      </c>
      <c r="BA86" s="2">
        <v>78</v>
      </c>
      <c r="BB86">
        <f t="shared" ca="1" si="113"/>
        <v>3</v>
      </c>
      <c r="BC86" s="14" t="str">
        <f t="shared" si="114"/>
        <v/>
      </c>
      <c r="BD86" s="5" t="e">
        <f t="shared" si="91"/>
        <v>#N/A</v>
      </c>
      <c r="BE86" s="5" t="e">
        <f t="shared" si="92"/>
        <v>#N/A</v>
      </c>
      <c r="BF86" s="5" t="e">
        <f t="shared" si="93"/>
        <v>#N/A</v>
      </c>
      <c r="BG86" s="5" t="e">
        <f t="shared" si="94"/>
        <v>#N/A</v>
      </c>
      <c r="BH86" s="5" t="e">
        <f t="shared" si="95"/>
        <v>#N/A</v>
      </c>
      <c r="BI86">
        <f t="shared" ca="1" si="115"/>
        <v>1</v>
      </c>
      <c r="BJ86" s="158" t="e">
        <f t="shared" si="116"/>
        <v>#N/A</v>
      </c>
      <c r="BK86" s="158" t="e">
        <f t="shared" si="117"/>
        <v>#N/A</v>
      </c>
      <c r="BL86" s="158" t="e">
        <f t="shared" si="118"/>
        <v>#N/A</v>
      </c>
      <c r="BM86" s="158" t="e">
        <f t="shared" si="119"/>
        <v>#N/A</v>
      </c>
      <c r="BN86" s="19"/>
      <c r="BQ86" s="4">
        <v>78</v>
      </c>
      <c r="BR86" s="4" t="e">
        <f t="shared" si="138"/>
        <v>#N/A</v>
      </c>
      <c r="BS86" s="4" t="e">
        <f t="shared" si="139"/>
        <v>#N/A</v>
      </c>
      <c r="BT86" s="4" t="e">
        <f t="shared" si="140"/>
        <v>#N/A</v>
      </c>
      <c r="BV86" s="4">
        <v>78</v>
      </c>
      <c r="BW86" s="4" t="e">
        <f t="shared" si="141"/>
        <v>#N/A</v>
      </c>
      <c r="BX86" s="4" t="e">
        <f t="shared" si="142"/>
        <v>#N/A</v>
      </c>
      <c r="BZ86" s="4">
        <v>78</v>
      </c>
      <c r="CA86" s="4" t="e">
        <f t="shared" si="143"/>
        <v>#N/A</v>
      </c>
      <c r="CB86" s="4" t="e">
        <f t="shared" si="144"/>
        <v>#N/A</v>
      </c>
      <c r="CC86" s="4" t="e">
        <f t="shared" si="145"/>
        <v>#N/A</v>
      </c>
      <c r="CD86" s="4" t="e">
        <f t="shared" si="146"/>
        <v>#N/A</v>
      </c>
      <c r="CG86" s="4">
        <v>78</v>
      </c>
      <c r="CH86" s="4" t="e">
        <f t="shared" si="120"/>
        <v>#N/A</v>
      </c>
      <c r="CI86" s="4" t="e">
        <f t="shared" si="121"/>
        <v>#N/A</v>
      </c>
      <c r="CJ86" s="4" t="e">
        <f t="shared" si="122"/>
        <v>#N/A</v>
      </c>
      <c r="CL86">
        <f t="shared" si="96"/>
        <v>0</v>
      </c>
      <c r="CM86">
        <f t="shared" si="97"/>
        <v>0</v>
      </c>
    </row>
    <row r="87" spans="2:91" ht="15.75" thickBot="1" x14ac:dyDescent="0.3">
      <c r="B87">
        <f t="shared" si="98"/>
        <v>0</v>
      </c>
      <c r="C87" s="16">
        <v>79</v>
      </c>
      <c r="D87" s="15" t="str">
        <f>IF('Front sheet'!$I32="","",'Front sheet'!$I32)</f>
        <v/>
      </c>
      <c r="E87" s="149" t="e">
        <f>IF('Front sheet'!K32="",NA(),'Front sheet'!K32)</f>
        <v>#N/A</v>
      </c>
      <c r="F87" s="196" t="e">
        <f>IF('Front sheet'!K32="",NA(),'Front sheet'!J32/'Front sheet'!K32)</f>
        <v>#N/A</v>
      </c>
      <c r="G87" s="205">
        <f t="shared" ca="1" si="99"/>
        <v>0.87525423728813556</v>
      </c>
      <c r="H87" s="201" t="e">
        <f t="shared" ca="1" si="123"/>
        <v>#N/A</v>
      </c>
      <c r="I87" s="157" t="e">
        <f t="shared" ca="1" si="124"/>
        <v>#N/A</v>
      </c>
      <c r="J87" s="151" t="e">
        <f>IF('Front sheet'!K32="",NA(),'Front sheet'!J32)</f>
        <v>#N/A</v>
      </c>
      <c r="K87" s="10" t="str">
        <f t="shared" si="100"/>
        <v/>
      </c>
      <c r="L87" s="9" t="e">
        <f t="shared" ca="1" si="101"/>
        <v>#N/A</v>
      </c>
      <c r="M87" s="8" t="e">
        <f t="shared" ca="1" si="102"/>
        <v>#N/A</v>
      </c>
      <c r="N87" t="e">
        <f t="shared" ca="1" si="103"/>
        <v>#N/A</v>
      </c>
      <c r="O87" s="8" t="e">
        <f t="shared" ca="1" si="147"/>
        <v>#N/A</v>
      </c>
      <c r="P87" t="e">
        <f t="shared" ca="1" si="104"/>
        <v>#N/A</v>
      </c>
      <c r="Q87" s="8">
        <f>IF(ISERROR($F87),0,IF($F87&gt;$H87,MAX($Q$8:Q86)+1,0))</f>
        <v>0</v>
      </c>
      <c r="R87" s="8">
        <f>IF(ISERROR($F87),0,IF($F87&lt;$I87,MAX($R$8:R86)+1,0))</f>
        <v>0</v>
      </c>
      <c r="T87" s="8">
        <f t="shared" si="105"/>
        <v>0</v>
      </c>
      <c r="U87" s="8">
        <f t="shared" ca="1" si="125"/>
        <v>0</v>
      </c>
      <c r="W87" s="8">
        <f t="shared" si="106"/>
        <v>0</v>
      </c>
      <c r="X87" s="8">
        <f t="shared" ca="1" si="126"/>
        <v>0</v>
      </c>
      <c r="Z87" s="8">
        <f t="shared" si="107"/>
        <v>0</v>
      </c>
      <c r="AA87" s="8">
        <f t="shared" si="127"/>
        <v>0</v>
      </c>
      <c r="AC87" s="8">
        <f t="shared" si="108"/>
        <v>0</v>
      </c>
      <c r="AD87" s="8">
        <f t="shared" si="128"/>
        <v>0</v>
      </c>
      <c r="AF87" s="8">
        <f t="shared" si="129"/>
        <v>0</v>
      </c>
      <c r="AG87" s="8">
        <f t="shared" si="130"/>
        <v>0</v>
      </c>
      <c r="AH87" s="8">
        <f t="shared" si="131"/>
        <v>0</v>
      </c>
      <c r="AI87" s="8">
        <f t="shared" si="132"/>
        <v>0</v>
      </c>
      <c r="AK87" s="11" t="e">
        <f t="shared" si="109"/>
        <v>#N/A</v>
      </c>
      <c r="AL87" s="8"/>
      <c r="AN87" s="8"/>
      <c r="AO87" s="8"/>
      <c r="AP87" s="8" t="e">
        <f>IF(C87&lt;=$E$3,IF(OR('Front sheet'!$Q$3="",'Front sheet'!$Q$3=0),NA(),'Front sheet'!$Q$3),NA())</f>
        <v>#N/A</v>
      </c>
      <c r="AQ87" s="8" t="e">
        <f t="shared" ca="1" si="133"/>
        <v>#N/A</v>
      </c>
      <c r="AR87" s="8" t="e">
        <f t="shared" ca="1" si="134"/>
        <v>#N/A</v>
      </c>
      <c r="AS87" s="8" t="e">
        <f t="shared" ca="1" si="135"/>
        <v>#N/A</v>
      </c>
      <c r="AT87" s="8" t="e">
        <f t="shared" ca="1" si="136"/>
        <v>#N/A</v>
      </c>
      <c r="AU87" s="8" t="e">
        <f t="shared" si="110"/>
        <v>#N/A</v>
      </c>
      <c r="AV87" s="8" t="e">
        <f t="shared" ca="1" si="137"/>
        <v>#N/A</v>
      </c>
      <c r="AX87" s="7" t="str">
        <f t="shared" si="111"/>
        <v/>
      </c>
      <c r="AY87" s="2" t="str">
        <f t="shared" si="112"/>
        <v/>
      </c>
      <c r="BA87" s="2">
        <v>79</v>
      </c>
      <c r="BB87">
        <f t="shared" ca="1" si="113"/>
        <v>3</v>
      </c>
      <c r="BC87" s="14" t="str">
        <f t="shared" si="114"/>
        <v/>
      </c>
      <c r="BD87" s="5" t="e">
        <f t="shared" si="91"/>
        <v>#N/A</v>
      </c>
      <c r="BE87" s="5" t="e">
        <f t="shared" si="92"/>
        <v>#N/A</v>
      </c>
      <c r="BF87" s="5" t="e">
        <f t="shared" si="93"/>
        <v>#N/A</v>
      </c>
      <c r="BG87" s="5" t="e">
        <f t="shared" si="94"/>
        <v>#N/A</v>
      </c>
      <c r="BH87" s="5" t="e">
        <f t="shared" si="95"/>
        <v>#N/A</v>
      </c>
      <c r="BI87">
        <f t="shared" ca="1" si="115"/>
        <v>1</v>
      </c>
      <c r="BJ87" s="158" t="e">
        <f t="shared" si="116"/>
        <v>#N/A</v>
      </c>
      <c r="BK87" s="158" t="e">
        <f t="shared" si="117"/>
        <v>#N/A</v>
      </c>
      <c r="BL87" s="158" t="e">
        <f t="shared" si="118"/>
        <v>#N/A</v>
      </c>
      <c r="BM87" s="158" t="e">
        <f t="shared" si="119"/>
        <v>#N/A</v>
      </c>
      <c r="BN87" s="19"/>
      <c r="BQ87" s="4">
        <v>79</v>
      </c>
      <c r="BR87" s="4" t="e">
        <f t="shared" si="138"/>
        <v>#N/A</v>
      </c>
      <c r="BS87" s="4" t="e">
        <f t="shared" si="139"/>
        <v>#N/A</v>
      </c>
      <c r="BT87" s="4" t="e">
        <f t="shared" si="140"/>
        <v>#N/A</v>
      </c>
      <c r="BV87" s="4">
        <v>79</v>
      </c>
      <c r="BW87" s="4" t="e">
        <f t="shared" si="141"/>
        <v>#N/A</v>
      </c>
      <c r="BX87" s="4" t="e">
        <f t="shared" si="142"/>
        <v>#N/A</v>
      </c>
      <c r="BZ87" s="4">
        <v>79</v>
      </c>
      <c r="CA87" s="4" t="e">
        <f t="shared" si="143"/>
        <v>#N/A</v>
      </c>
      <c r="CB87" s="4" t="e">
        <f t="shared" si="144"/>
        <v>#N/A</v>
      </c>
      <c r="CC87" s="4" t="e">
        <f t="shared" si="145"/>
        <v>#N/A</v>
      </c>
      <c r="CD87" s="4" t="e">
        <f t="shared" si="146"/>
        <v>#N/A</v>
      </c>
      <c r="CG87" s="4">
        <v>79</v>
      </c>
      <c r="CH87" s="4" t="e">
        <f t="shared" si="120"/>
        <v>#N/A</v>
      </c>
      <c r="CI87" s="4" t="e">
        <f t="shared" si="121"/>
        <v>#N/A</v>
      </c>
      <c r="CJ87" s="4" t="e">
        <f t="shared" si="122"/>
        <v>#N/A</v>
      </c>
      <c r="CL87">
        <f t="shared" si="96"/>
        <v>0</v>
      </c>
      <c r="CM87">
        <f t="shared" si="97"/>
        <v>0</v>
      </c>
    </row>
    <row r="88" spans="2:91" ht="15.75" thickBot="1" x14ac:dyDescent="0.3">
      <c r="B88">
        <f t="shared" si="98"/>
        <v>0</v>
      </c>
      <c r="C88" s="16">
        <v>80</v>
      </c>
      <c r="D88" s="15" t="str">
        <f>IF('Front sheet'!$I33="","",'Front sheet'!$I33)</f>
        <v/>
      </c>
      <c r="E88" s="149" t="e">
        <f>IF('Front sheet'!K33="",NA(),'Front sheet'!K33)</f>
        <v>#N/A</v>
      </c>
      <c r="F88" s="196" t="e">
        <f>IF('Front sheet'!K33="",NA(),'Front sheet'!J33/'Front sheet'!K33)</f>
        <v>#N/A</v>
      </c>
      <c r="G88" s="205">
        <f t="shared" ca="1" si="99"/>
        <v>0.87525423728813556</v>
      </c>
      <c r="H88" s="201" t="e">
        <f t="shared" ca="1" si="123"/>
        <v>#N/A</v>
      </c>
      <c r="I88" s="157" t="e">
        <f t="shared" ca="1" si="124"/>
        <v>#N/A</v>
      </c>
      <c r="J88" s="151" t="e">
        <f>IF('Front sheet'!K33="",NA(),'Front sheet'!J33)</f>
        <v>#N/A</v>
      </c>
      <c r="K88" s="10" t="str">
        <f t="shared" si="100"/>
        <v/>
      </c>
      <c r="L88" s="9" t="e">
        <f t="shared" ca="1" si="101"/>
        <v>#N/A</v>
      </c>
      <c r="M88" s="8" t="e">
        <f t="shared" ca="1" si="102"/>
        <v>#N/A</v>
      </c>
      <c r="N88" t="e">
        <f t="shared" ca="1" si="103"/>
        <v>#N/A</v>
      </c>
      <c r="O88" s="8" t="e">
        <f t="shared" ca="1" si="147"/>
        <v>#N/A</v>
      </c>
      <c r="P88" t="e">
        <f t="shared" ca="1" si="104"/>
        <v>#N/A</v>
      </c>
      <c r="Q88" s="8">
        <f>IF(ISERROR($F88),0,IF($F88&gt;$H88,MAX($Q$8:Q87)+1,0))</f>
        <v>0</v>
      </c>
      <c r="R88" s="8">
        <f>IF(ISERROR($F88),0,IF($F88&lt;$I88,MAX($R$8:R87)+1,0))</f>
        <v>0</v>
      </c>
      <c r="T88" s="8">
        <f t="shared" si="105"/>
        <v>0</v>
      </c>
      <c r="U88" s="8">
        <f t="shared" ca="1" si="125"/>
        <v>0</v>
      </c>
      <c r="W88" s="8">
        <f t="shared" si="106"/>
        <v>0</v>
      </c>
      <c r="X88" s="8">
        <f t="shared" ca="1" si="126"/>
        <v>0</v>
      </c>
      <c r="Z88" s="8">
        <f t="shared" si="107"/>
        <v>0</v>
      </c>
      <c r="AA88" s="8">
        <f t="shared" si="127"/>
        <v>0</v>
      </c>
      <c r="AC88" s="8">
        <f t="shared" si="108"/>
        <v>0</v>
      </c>
      <c r="AD88" s="8">
        <f t="shared" si="128"/>
        <v>0</v>
      </c>
      <c r="AF88" s="8">
        <f t="shared" si="129"/>
        <v>0</v>
      </c>
      <c r="AG88" s="8">
        <f t="shared" si="130"/>
        <v>0</v>
      </c>
      <c r="AH88" s="8">
        <f t="shared" si="131"/>
        <v>0</v>
      </c>
      <c r="AI88" s="8">
        <f t="shared" si="132"/>
        <v>0</v>
      </c>
      <c r="AK88" s="11" t="e">
        <f t="shared" si="109"/>
        <v>#N/A</v>
      </c>
      <c r="AL88" s="8"/>
      <c r="AN88" s="8"/>
      <c r="AO88" s="8"/>
      <c r="AP88" s="8" t="e">
        <f>IF(C88&lt;=$E$3,IF(OR('Front sheet'!$Q$3="",'Front sheet'!$Q$3=0),NA(),'Front sheet'!$Q$3),NA())</f>
        <v>#N/A</v>
      </c>
      <c r="AQ88" s="8" t="e">
        <f t="shared" ca="1" si="133"/>
        <v>#N/A</v>
      </c>
      <c r="AR88" s="8" t="e">
        <f t="shared" ca="1" si="134"/>
        <v>#N/A</v>
      </c>
      <c r="AS88" s="8" t="e">
        <f t="shared" ca="1" si="135"/>
        <v>#N/A</v>
      </c>
      <c r="AT88" s="8" t="e">
        <f t="shared" ca="1" si="136"/>
        <v>#N/A</v>
      </c>
      <c r="AU88" s="8" t="e">
        <f t="shared" si="110"/>
        <v>#N/A</v>
      </c>
      <c r="AV88" s="8" t="e">
        <f t="shared" ca="1" si="137"/>
        <v>#N/A</v>
      </c>
      <c r="AX88" s="7" t="str">
        <f t="shared" si="111"/>
        <v/>
      </c>
      <c r="AY88" s="2" t="str">
        <f t="shared" si="112"/>
        <v/>
      </c>
      <c r="BA88" s="2">
        <v>80</v>
      </c>
      <c r="BB88">
        <f t="shared" ca="1" si="113"/>
        <v>3</v>
      </c>
      <c r="BC88" s="14" t="str">
        <f t="shared" si="114"/>
        <v/>
      </c>
      <c r="BD88" s="5" t="e">
        <f t="shared" si="91"/>
        <v>#N/A</v>
      </c>
      <c r="BE88" s="5" t="e">
        <f t="shared" si="92"/>
        <v>#N/A</v>
      </c>
      <c r="BF88" s="5" t="e">
        <f t="shared" si="93"/>
        <v>#N/A</v>
      </c>
      <c r="BG88" s="5" t="e">
        <f t="shared" si="94"/>
        <v>#N/A</v>
      </c>
      <c r="BH88" s="5" t="e">
        <f t="shared" si="95"/>
        <v>#N/A</v>
      </c>
      <c r="BI88">
        <f t="shared" ca="1" si="115"/>
        <v>1</v>
      </c>
      <c r="BJ88" s="158" t="e">
        <f t="shared" si="116"/>
        <v>#N/A</v>
      </c>
      <c r="BK88" s="158" t="e">
        <f t="shared" si="117"/>
        <v>#N/A</v>
      </c>
      <c r="BL88" s="158" t="e">
        <f t="shared" si="118"/>
        <v>#N/A</v>
      </c>
      <c r="BM88" s="158" t="e">
        <f t="shared" si="119"/>
        <v>#N/A</v>
      </c>
      <c r="BN88" s="19"/>
      <c r="BQ88" s="4">
        <v>80</v>
      </c>
      <c r="BR88" s="4" t="e">
        <f t="shared" si="138"/>
        <v>#N/A</v>
      </c>
      <c r="BS88" s="4" t="e">
        <f t="shared" si="139"/>
        <v>#N/A</v>
      </c>
      <c r="BT88" s="4" t="e">
        <f t="shared" si="140"/>
        <v>#N/A</v>
      </c>
      <c r="BV88" s="4">
        <v>80</v>
      </c>
      <c r="BW88" s="4" t="e">
        <f t="shared" si="141"/>
        <v>#N/A</v>
      </c>
      <c r="BX88" s="4" t="e">
        <f t="shared" si="142"/>
        <v>#N/A</v>
      </c>
      <c r="BZ88" s="4">
        <v>80</v>
      </c>
      <c r="CA88" s="4" t="e">
        <f t="shared" si="143"/>
        <v>#N/A</v>
      </c>
      <c r="CB88" s="4" t="e">
        <f t="shared" si="144"/>
        <v>#N/A</v>
      </c>
      <c r="CC88" s="4" t="e">
        <f t="shared" si="145"/>
        <v>#N/A</v>
      </c>
      <c r="CD88" s="4" t="e">
        <f t="shared" si="146"/>
        <v>#N/A</v>
      </c>
      <c r="CG88" s="4">
        <v>80</v>
      </c>
      <c r="CH88" s="4" t="e">
        <f t="shared" si="120"/>
        <v>#N/A</v>
      </c>
      <c r="CI88" s="4" t="e">
        <f t="shared" si="121"/>
        <v>#N/A</v>
      </c>
      <c r="CJ88" s="4" t="e">
        <f t="shared" si="122"/>
        <v>#N/A</v>
      </c>
      <c r="CL88">
        <f t="shared" si="96"/>
        <v>0</v>
      </c>
      <c r="CM88">
        <f t="shared" si="97"/>
        <v>0</v>
      </c>
    </row>
    <row r="89" spans="2:91" ht="15.75" thickBot="1" x14ac:dyDescent="0.3">
      <c r="B89">
        <f t="shared" si="98"/>
        <v>0</v>
      </c>
      <c r="C89" s="16">
        <v>81</v>
      </c>
      <c r="D89" s="15" t="str">
        <f>IF('Front sheet'!$I34="","",'Front sheet'!$I34)</f>
        <v/>
      </c>
      <c r="E89" s="149" t="e">
        <f>IF('Front sheet'!K34="",NA(),'Front sheet'!K34)</f>
        <v>#N/A</v>
      </c>
      <c r="F89" s="196" t="e">
        <f>IF('Front sheet'!K34="",NA(),'Front sheet'!J34/'Front sheet'!K34)</f>
        <v>#N/A</v>
      </c>
      <c r="G89" s="205">
        <f t="shared" ca="1" si="99"/>
        <v>0.87525423728813556</v>
      </c>
      <c r="H89" s="201" t="e">
        <f t="shared" ca="1" si="123"/>
        <v>#N/A</v>
      </c>
      <c r="I89" s="157" t="e">
        <f t="shared" ca="1" si="124"/>
        <v>#N/A</v>
      </c>
      <c r="J89" s="151" t="e">
        <f>IF('Front sheet'!K34="",NA(),'Front sheet'!J34)</f>
        <v>#N/A</v>
      </c>
      <c r="K89" s="10" t="str">
        <f t="shared" si="100"/>
        <v/>
      </c>
      <c r="L89" s="9" t="e">
        <f t="shared" ca="1" si="101"/>
        <v>#N/A</v>
      </c>
      <c r="M89" s="8" t="e">
        <f t="shared" ca="1" si="102"/>
        <v>#N/A</v>
      </c>
      <c r="N89" t="e">
        <f t="shared" ca="1" si="103"/>
        <v>#N/A</v>
      </c>
      <c r="O89" s="8" t="e">
        <f t="shared" ca="1" si="147"/>
        <v>#N/A</v>
      </c>
      <c r="P89" t="e">
        <f t="shared" ca="1" si="104"/>
        <v>#N/A</v>
      </c>
      <c r="Q89" s="8">
        <f>IF(ISERROR($F89),0,IF($F89&gt;$H89,MAX($Q$8:Q88)+1,0))</f>
        <v>0</v>
      </c>
      <c r="R89" s="8">
        <f>IF(ISERROR($F89),0,IF($F89&lt;$I89,MAX($R$8:R88)+1,0))</f>
        <v>0</v>
      </c>
      <c r="T89" s="8">
        <f t="shared" si="105"/>
        <v>0</v>
      </c>
      <c r="U89" s="8">
        <f t="shared" ca="1" si="125"/>
        <v>0</v>
      </c>
      <c r="W89" s="8">
        <f t="shared" si="106"/>
        <v>0</v>
      </c>
      <c r="X89" s="8">
        <f t="shared" ca="1" si="126"/>
        <v>0</v>
      </c>
      <c r="Z89" s="8">
        <f t="shared" si="107"/>
        <v>0</v>
      </c>
      <c r="AA89" s="8">
        <f t="shared" si="127"/>
        <v>0</v>
      </c>
      <c r="AC89" s="8">
        <f t="shared" si="108"/>
        <v>0</v>
      </c>
      <c r="AD89" s="8">
        <f t="shared" si="128"/>
        <v>0</v>
      </c>
      <c r="AF89" s="8">
        <f t="shared" si="129"/>
        <v>0</v>
      </c>
      <c r="AG89" s="8">
        <f t="shared" si="130"/>
        <v>0</v>
      </c>
      <c r="AH89" s="8">
        <f t="shared" si="131"/>
        <v>0</v>
      </c>
      <c r="AI89" s="8">
        <f t="shared" si="132"/>
        <v>0</v>
      </c>
      <c r="AK89" s="11" t="e">
        <f t="shared" si="109"/>
        <v>#N/A</v>
      </c>
      <c r="AL89" s="8"/>
      <c r="AN89" s="8"/>
      <c r="AO89" s="8"/>
      <c r="AP89" s="8" t="e">
        <f>IF(C89&lt;=$E$3,IF(OR('Front sheet'!$Q$3="",'Front sheet'!$Q$3=0),NA(),'Front sheet'!$Q$3),NA())</f>
        <v>#N/A</v>
      </c>
      <c r="AQ89" s="8" t="e">
        <f t="shared" ca="1" si="133"/>
        <v>#N/A</v>
      </c>
      <c r="AR89" s="8" t="e">
        <f t="shared" ca="1" si="134"/>
        <v>#N/A</v>
      </c>
      <c r="AS89" s="8" t="e">
        <f t="shared" ca="1" si="135"/>
        <v>#N/A</v>
      </c>
      <c r="AT89" s="8" t="e">
        <f t="shared" ca="1" si="136"/>
        <v>#N/A</v>
      </c>
      <c r="AU89" s="8" t="e">
        <f t="shared" si="110"/>
        <v>#N/A</v>
      </c>
      <c r="AV89" s="8" t="e">
        <f t="shared" ca="1" si="137"/>
        <v>#N/A</v>
      </c>
      <c r="AX89" s="7" t="str">
        <f t="shared" si="111"/>
        <v/>
      </c>
      <c r="AY89" s="2" t="str">
        <f t="shared" si="112"/>
        <v/>
      </c>
      <c r="BA89" s="2">
        <v>81</v>
      </c>
      <c r="BB89">
        <f t="shared" ca="1" si="113"/>
        <v>3</v>
      </c>
      <c r="BC89" s="14" t="str">
        <f t="shared" si="114"/>
        <v/>
      </c>
      <c r="BD89" s="5" t="e">
        <f t="shared" si="91"/>
        <v>#N/A</v>
      </c>
      <c r="BE89" s="5" t="e">
        <f t="shared" si="92"/>
        <v>#N/A</v>
      </c>
      <c r="BF89" s="5" t="e">
        <f t="shared" si="93"/>
        <v>#N/A</v>
      </c>
      <c r="BG89" s="5" t="e">
        <f t="shared" si="94"/>
        <v>#N/A</v>
      </c>
      <c r="BH89" s="5" t="e">
        <f t="shared" si="95"/>
        <v>#N/A</v>
      </c>
      <c r="BI89">
        <f t="shared" ca="1" si="115"/>
        <v>1</v>
      </c>
      <c r="BJ89" s="158" t="e">
        <f t="shared" si="116"/>
        <v>#N/A</v>
      </c>
      <c r="BK89" s="158" t="e">
        <f t="shared" si="117"/>
        <v>#N/A</v>
      </c>
      <c r="BL89" s="158" t="e">
        <f t="shared" si="118"/>
        <v>#N/A</v>
      </c>
      <c r="BM89" s="158" t="e">
        <f t="shared" si="119"/>
        <v>#N/A</v>
      </c>
      <c r="BN89" s="19"/>
      <c r="BQ89" s="4">
        <v>81</v>
      </c>
      <c r="BR89" s="4" t="e">
        <f t="shared" si="138"/>
        <v>#N/A</v>
      </c>
      <c r="BS89" s="4" t="e">
        <f t="shared" si="139"/>
        <v>#N/A</v>
      </c>
      <c r="BT89" s="4" t="e">
        <f t="shared" si="140"/>
        <v>#N/A</v>
      </c>
      <c r="BV89" s="4">
        <v>81</v>
      </c>
      <c r="BW89" s="4" t="e">
        <f t="shared" si="141"/>
        <v>#N/A</v>
      </c>
      <c r="BX89" s="4" t="e">
        <f t="shared" si="142"/>
        <v>#N/A</v>
      </c>
      <c r="BZ89" s="4">
        <v>81</v>
      </c>
      <c r="CA89" s="4" t="e">
        <f t="shared" si="143"/>
        <v>#N/A</v>
      </c>
      <c r="CB89" s="4" t="e">
        <f t="shared" si="144"/>
        <v>#N/A</v>
      </c>
      <c r="CC89" s="4" t="e">
        <f t="shared" si="145"/>
        <v>#N/A</v>
      </c>
      <c r="CD89" s="4" t="e">
        <f t="shared" si="146"/>
        <v>#N/A</v>
      </c>
      <c r="CG89" s="4">
        <v>81</v>
      </c>
      <c r="CH89" s="4" t="e">
        <f t="shared" si="120"/>
        <v>#N/A</v>
      </c>
      <c r="CI89" s="4" t="e">
        <f t="shared" si="121"/>
        <v>#N/A</v>
      </c>
      <c r="CJ89" s="4" t="e">
        <f t="shared" si="122"/>
        <v>#N/A</v>
      </c>
      <c r="CL89">
        <f t="shared" si="96"/>
        <v>0</v>
      </c>
      <c r="CM89">
        <f t="shared" si="97"/>
        <v>0</v>
      </c>
    </row>
    <row r="90" spans="2:91" ht="15.75" thickBot="1" x14ac:dyDescent="0.3">
      <c r="B90">
        <f t="shared" si="98"/>
        <v>0</v>
      </c>
      <c r="C90" s="16">
        <v>82</v>
      </c>
      <c r="D90" s="15" t="str">
        <f>IF('Front sheet'!$I35="","",'Front sheet'!$I35)</f>
        <v/>
      </c>
      <c r="E90" s="149" t="e">
        <f>IF('Front sheet'!K35="",NA(),'Front sheet'!K35)</f>
        <v>#N/A</v>
      </c>
      <c r="F90" s="196" t="e">
        <f>IF('Front sheet'!K35="",NA(),'Front sheet'!J35/'Front sheet'!K35)</f>
        <v>#N/A</v>
      </c>
      <c r="G90" s="205">
        <f t="shared" ca="1" si="99"/>
        <v>0.87525423728813556</v>
      </c>
      <c r="H90" s="201" t="e">
        <f t="shared" ca="1" si="123"/>
        <v>#N/A</v>
      </c>
      <c r="I90" s="157" t="e">
        <f t="shared" ca="1" si="124"/>
        <v>#N/A</v>
      </c>
      <c r="J90" s="151" t="e">
        <f>IF('Front sheet'!K35="",NA(),'Front sheet'!J35)</f>
        <v>#N/A</v>
      </c>
      <c r="K90" s="10" t="str">
        <f t="shared" si="100"/>
        <v/>
      </c>
      <c r="L90" s="9" t="e">
        <f t="shared" ca="1" si="101"/>
        <v>#N/A</v>
      </c>
      <c r="M90" s="8" t="e">
        <f t="shared" ca="1" si="102"/>
        <v>#N/A</v>
      </c>
      <c r="N90" t="e">
        <f t="shared" ca="1" si="103"/>
        <v>#N/A</v>
      </c>
      <c r="O90" s="8" t="e">
        <f t="shared" ca="1" si="147"/>
        <v>#N/A</v>
      </c>
      <c r="P90" t="e">
        <f t="shared" ca="1" si="104"/>
        <v>#N/A</v>
      </c>
      <c r="Q90" s="8">
        <f>IF(ISERROR($F90),0,IF($F90&gt;$H90,MAX($Q$8:Q89)+1,0))</f>
        <v>0</v>
      </c>
      <c r="R90" s="8">
        <f>IF(ISERROR($F90),0,IF($F90&lt;$I90,MAX($R$8:R89)+1,0))</f>
        <v>0</v>
      </c>
      <c r="T90" s="8">
        <f t="shared" si="105"/>
        <v>0</v>
      </c>
      <c r="U90" s="8">
        <f t="shared" ca="1" si="125"/>
        <v>0</v>
      </c>
      <c r="W90" s="8">
        <f t="shared" si="106"/>
        <v>0</v>
      </c>
      <c r="X90" s="8">
        <f t="shared" ca="1" si="126"/>
        <v>0</v>
      </c>
      <c r="Z90" s="8">
        <f t="shared" si="107"/>
        <v>0</v>
      </c>
      <c r="AA90" s="8">
        <f t="shared" si="127"/>
        <v>0</v>
      </c>
      <c r="AC90" s="8">
        <f t="shared" si="108"/>
        <v>0</v>
      </c>
      <c r="AD90" s="8">
        <f t="shared" si="128"/>
        <v>0</v>
      </c>
      <c r="AF90" s="8">
        <f t="shared" si="129"/>
        <v>0</v>
      </c>
      <c r="AG90" s="8">
        <f t="shared" si="130"/>
        <v>0</v>
      </c>
      <c r="AH90" s="8">
        <f t="shared" si="131"/>
        <v>0</v>
      </c>
      <c r="AI90" s="8">
        <f t="shared" si="132"/>
        <v>0</v>
      </c>
      <c r="AK90" s="11" t="e">
        <f t="shared" si="109"/>
        <v>#N/A</v>
      </c>
      <c r="AL90" s="8"/>
      <c r="AN90" s="8"/>
      <c r="AO90" s="8"/>
      <c r="AP90" s="8" t="e">
        <f>IF(C90&lt;=$E$3,IF(OR('Front sheet'!$Q$3="",'Front sheet'!$Q$3=0),NA(),'Front sheet'!$Q$3),NA())</f>
        <v>#N/A</v>
      </c>
      <c r="AQ90" s="8" t="e">
        <f t="shared" ca="1" si="133"/>
        <v>#N/A</v>
      </c>
      <c r="AR90" s="8" t="e">
        <f t="shared" ca="1" si="134"/>
        <v>#N/A</v>
      </c>
      <c r="AS90" s="8" t="e">
        <f t="shared" ca="1" si="135"/>
        <v>#N/A</v>
      </c>
      <c r="AT90" s="8" t="e">
        <f t="shared" ca="1" si="136"/>
        <v>#N/A</v>
      </c>
      <c r="AU90" s="8" t="e">
        <f t="shared" si="110"/>
        <v>#N/A</v>
      </c>
      <c r="AV90" s="8" t="e">
        <f t="shared" ca="1" si="137"/>
        <v>#N/A</v>
      </c>
      <c r="AX90" s="7" t="str">
        <f t="shared" si="111"/>
        <v/>
      </c>
      <c r="AY90" s="2" t="str">
        <f t="shared" si="112"/>
        <v/>
      </c>
      <c r="BA90" s="2">
        <v>82</v>
      </c>
      <c r="BB90">
        <f t="shared" ca="1" si="113"/>
        <v>3</v>
      </c>
      <c r="BC90" s="14" t="str">
        <f t="shared" si="114"/>
        <v/>
      </c>
      <c r="BD90" s="5" t="e">
        <f t="shared" si="91"/>
        <v>#N/A</v>
      </c>
      <c r="BE90" s="5" t="e">
        <f t="shared" si="92"/>
        <v>#N/A</v>
      </c>
      <c r="BF90" s="5" t="e">
        <f t="shared" si="93"/>
        <v>#N/A</v>
      </c>
      <c r="BG90" s="5" t="e">
        <f t="shared" si="94"/>
        <v>#N/A</v>
      </c>
      <c r="BH90" s="5" t="e">
        <f t="shared" si="95"/>
        <v>#N/A</v>
      </c>
      <c r="BI90">
        <f t="shared" ca="1" si="115"/>
        <v>1</v>
      </c>
      <c r="BJ90" s="158" t="e">
        <f t="shared" si="116"/>
        <v>#N/A</v>
      </c>
      <c r="BK90" s="158" t="e">
        <f t="shared" si="117"/>
        <v>#N/A</v>
      </c>
      <c r="BL90" s="158" t="e">
        <f t="shared" si="118"/>
        <v>#N/A</v>
      </c>
      <c r="BM90" s="158" t="e">
        <f t="shared" si="119"/>
        <v>#N/A</v>
      </c>
      <c r="BN90" s="19"/>
      <c r="BQ90" s="4">
        <v>82</v>
      </c>
      <c r="BR90" s="4" t="e">
        <f t="shared" si="138"/>
        <v>#N/A</v>
      </c>
      <c r="BS90" s="4" t="e">
        <f t="shared" si="139"/>
        <v>#N/A</v>
      </c>
      <c r="BT90" s="4" t="e">
        <f t="shared" si="140"/>
        <v>#N/A</v>
      </c>
      <c r="BV90" s="4">
        <v>82</v>
      </c>
      <c r="BW90" s="4" t="e">
        <f t="shared" si="141"/>
        <v>#N/A</v>
      </c>
      <c r="BX90" s="4" t="e">
        <f t="shared" si="142"/>
        <v>#N/A</v>
      </c>
      <c r="BZ90" s="4">
        <v>82</v>
      </c>
      <c r="CA90" s="4" t="e">
        <f t="shared" si="143"/>
        <v>#N/A</v>
      </c>
      <c r="CB90" s="4" t="e">
        <f t="shared" si="144"/>
        <v>#N/A</v>
      </c>
      <c r="CC90" s="4" t="e">
        <f t="shared" si="145"/>
        <v>#N/A</v>
      </c>
      <c r="CD90" s="4" t="e">
        <f t="shared" si="146"/>
        <v>#N/A</v>
      </c>
      <c r="CG90" s="4">
        <v>82</v>
      </c>
      <c r="CH90" s="4" t="e">
        <f t="shared" si="120"/>
        <v>#N/A</v>
      </c>
      <c r="CI90" s="4" t="e">
        <f t="shared" si="121"/>
        <v>#N/A</v>
      </c>
      <c r="CJ90" s="4" t="e">
        <f t="shared" si="122"/>
        <v>#N/A</v>
      </c>
      <c r="CL90">
        <f t="shared" si="96"/>
        <v>0</v>
      </c>
      <c r="CM90">
        <f t="shared" si="97"/>
        <v>0</v>
      </c>
    </row>
    <row r="91" spans="2:91" ht="15.75" thickBot="1" x14ac:dyDescent="0.3">
      <c r="B91">
        <f t="shared" si="98"/>
        <v>0</v>
      </c>
      <c r="C91" s="16">
        <v>83</v>
      </c>
      <c r="D91" s="15" t="str">
        <f>IF('Front sheet'!$I36="","",'Front sheet'!$I36)</f>
        <v/>
      </c>
      <c r="E91" s="149" t="e">
        <f>IF('Front sheet'!K36="",NA(),'Front sheet'!K36)</f>
        <v>#N/A</v>
      </c>
      <c r="F91" s="196" t="e">
        <f>IF('Front sheet'!K36="",NA(),'Front sheet'!J36/'Front sheet'!K36)</f>
        <v>#N/A</v>
      </c>
      <c r="G91" s="205">
        <f t="shared" ca="1" si="99"/>
        <v>0.87525423728813556</v>
      </c>
      <c r="H91" s="201" t="e">
        <f t="shared" ca="1" si="123"/>
        <v>#N/A</v>
      </c>
      <c r="I91" s="157" t="e">
        <f t="shared" ca="1" si="124"/>
        <v>#N/A</v>
      </c>
      <c r="J91" s="151" t="e">
        <f>IF('Front sheet'!K36="",NA(),'Front sheet'!J36)</f>
        <v>#N/A</v>
      </c>
      <c r="K91" s="10" t="str">
        <f t="shared" si="100"/>
        <v/>
      </c>
      <c r="L91" s="9" t="e">
        <f t="shared" ca="1" si="101"/>
        <v>#N/A</v>
      </c>
      <c r="M91" s="8" t="e">
        <f t="shared" ca="1" si="102"/>
        <v>#N/A</v>
      </c>
      <c r="N91" t="e">
        <f t="shared" ca="1" si="103"/>
        <v>#N/A</v>
      </c>
      <c r="O91" s="8" t="e">
        <f t="shared" ca="1" si="147"/>
        <v>#N/A</v>
      </c>
      <c r="P91" t="e">
        <f t="shared" ca="1" si="104"/>
        <v>#N/A</v>
      </c>
      <c r="Q91" s="8">
        <f>IF(ISERROR($F91),0,IF($F91&gt;$H91,MAX($Q$8:Q90)+1,0))</f>
        <v>0</v>
      </c>
      <c r="R91" s="8">
        <f>IF(ISERROR($F91),0,IF($F91&lt;$I91,MAX($R$8:R90)+1,0))</f>
        <v>0</v>
      </c>
      <c r="T91" s="8">
        <f t="shared" si="105"/>
        <v>0</v>
      </c>
      <c r="U91" s="8">
        <f t="shared" ca="1" si="125"/>
        <v>0</v>
      </c>
      <c r="W91" s="8">
        <f t="shared" si="106"/>
        <v>0</v>
      </c>
      <c r="X91" s="8">
        <f t="shared" ca="1" si="126"/>
        <v>0</v>
      </c>
      <c r="Z91" s="8">
        <f t="shared" si="107"/>
        <v>0</v>
      </c>
      <c r="AA91" s="8">
        <f t="shared" si="127"/>
        <v>0</v>
      </c>
      <c r="AC91" s="8">
        <f t="shared" si="108"/>
        <v>0</v>
      </c>
      <c r="AD91" s="8">
        <f t="shared" si="128"/>
        <v>0</v>
      </c>
      <c r="AF91" s="8">
        <f t="shared" si="129"/>
        <v>0</v>
      </c>
      <c r="AG91" s="8">
        <f t="shared" si="130"/>
        <v>0</v>
      </c>
      <c r="AH91" s="8">
        <f t="shared" si="131"/>
        <v>0</v>
      </c>
      <c r="AI91" s="8">
        <f t="shared" si="132"/>
        <v>0</v>
      </c>
      <c r="AK91" s="11" t="e">
        <f t="shared" si="109"/>
        <v>#N/A</v>
      </c>
      <c r="AL91" s="8"/>
      <c r="AN91" s="8"/>
      <c r="AO91" s="8"/>
      <c r="AP91" s="8" t="e">
        <f>IF(C91&lt;=$E$3,IF(OR('Front sheet'!$Q$3="",'Front sheet'!$Q$3=0),NA(),'Front sheet'!$Q$3),NA())</f>
        <v>#N/A</v>
      </c>
      <c r="AQ91" s="8" t="e">
        <f t="shared" ca="1" si="133"/>
        <v>#N/A</v>
      </c>
      <c r="AR91" s="8" t="e">
        <f t="shared" ca="1" si="134"/>
        <v>#N/A</v>
      </c>
      <c r="AS91" s="8" t="e">
        <f t="shared" ca="1" si="135"/>
        <v>#N/A</v>
      </c>
      <c r="AT91" s="8" t="e">
        <f t="shared" ca="1" si="136"/>
        <v>#N/A</v>
      </c>
      <c r="AU91" s="8" t="e">
        <f t="shared" si="110"/>
        <v>#N/A</v>
      </c>
      <c r="AV91" s="8" t="e">
        <f t="shared" ca="1" si="137"/>
        <v>#N/A</v>
      </c>
      <c r="AX91" s="7" t="str">
        <f t="shared" si="111"/>
        <v/>
      </c>
      <c r="AY91" s="2" t="str">
        <f t="shared" si="112"/>
        <v/>
      </c>
      <c r="BA91" s="2">
        <v>83</v>
      </c>
      <c r="BB91">
        <f t="shared" ca="1" si="113"/>
        <v>3</v>
      </c>
      <c r="BC91" s="14" t="str">
        <f t="shared" si="114"/>
        <v/>
      </c>
      <c r="BD91" s="5" t="e">
        <f t="shared" si="91"/>
        <v>#N/A</v>
      </c>
      <c r="BE91" s="5" t="e">
        <f t="shared" si="92"/>
        <v>#N/A</v>
      </c>
      <c r="BF91" s="5" t="e">
        <f t="shared" si="93"/>
        <v>#N/A</v>
      </c>
      <c r="BG91" s="5" t="e">
        <f t="shared" si="94"/>
        <v>#N/A</v>
      </c>
      <c r="BH91" s="5" t="e">
        <f t="shared" si="95"/>
        <v>#N/A</v>
      </c>
      <c r="BI91">
        <f t="shared" ca="1" si="115"/>
        <v>1</v>
      </c>
      <c r="BJ91" s="158" t="e">
        <f t="shared" si="116"/>
        <v>#N/A</v>
      </c>
      <c r="BK91" s="158" t="e">
        <f t="shared" si="117"/>
        <v>#N/A</v>
      </c>
      <c r="BL91" s="158" t="e">
        <f t="shared" si="118"/>
        <v>#N/A</v>
      </c>
      <c r="BM91" s="158" t="e">
        <f t="shared" si="119"/>
        <v>#N/A</v>
      </c>
      <c r="BN91" s="19"/>
      <c r="BQ91" s="4">
        <v>83</v>
      </c>
      <c r="BR91" s="4" t="e">
        <f t="shared" si="138"/>
        <v>#N/A</v>
      </c>
      <c r="BS91" s="4" t="e">
        <f t="shared" si="139"/>
        <v>#N/A</v>
      </c>
      <c r="BT91" s="4" t="e">
        <f t="shared" si="140"/>
        <v>#N/A</v>
      </c>
      <c r="BV91" s="4">
        <v>83</v>
      </c>
      <c r="BW91" s="4" t="e">
        <f t="shared" si="141"/>
        <v>#N/A</v>
      </c>
      <c r="BX91" s="4" t="e">
        <f t="shared" si="142"/>
        <v>#N/A</v>
      </c>
      <c r="BZ91" s="4">
        <v>83</v>
      </c>
      <c r="CA91" s="4" t="e">
        <f t="shared" si="143"/>
        <v>#N/A</v>
      </c>
      <c r="CB91" s="4" t="e">
        <f t="shared" si="144"/>
        <v>#N/A</v>
      </c>
      <c r="CC91" s="4" t="e">
        <f t="shared" si="145"/>
        <v>#N/A</v>
      </c>
      <c r="CD91" s="4" t="e">
        <f t="shared" si="146"/>
        <v>#N/A</v>
      </c>
      <c r="CG91" s="4">
        <v>83</v>
      </c>
      <c r="CH91" s="4" t="e">
        <f t="shared" si="120"/>
        <v>#N/A</v>
      </c>
      <c r="CI91" s="4" t="e">
        <f t="shared" si="121"/>
        <v>#N/A</v>
      </c>
      <c r="CJ91" s="4" t="e">
        <f t="shared" si="122"/>
        <v>#N/A</v>
      </c>
      <c r="CL91">
        <f t="shared" si="96"/>
        <v>0</v>
      </c>
      <c r="CM91">
        <f t="shared" si="97"/>
        <v>0</v>
      </c>
    </row>
    <row r="92" spans="2:91" ht="15.75" thickBot="1" x14ac:dyDescent="0.3">
      <c r="B92">
        <f t="shared" si="98"/>
        <v>0</v>
      </c>
      <c r="C92" s="13">
        <v>84</v>
      </c>
      <c r="D92" s="12" t="str">
        <f>IF('Front sheet'!$I37="","",'Front sheet'!$I37)</f>
        <v/>
      </c>
      <c r="E92" s="149" t="e">
        <f>IF('Front sheet'!K37="",NA(),'Front sheet'!K37)</f>
        <v>#N/A</v>
      </c>
      <c r="F92" s="199" t="e">
        <f>IF('Front sheet'!K37="",NA(),'Front sheet'!J37/'Front sheet'!K37)</f>
        <v>#N/A</v>
      </c>
      <c r="G92" s="205">
        <f t="shared" ca="1" si="99"/>
        <v>0.87525423728813556</v>
      </c>
      <c r="H92" s="204" t="e">
        <f t="shared" ca="1" si="123"/>
        <v>#N/A</v>
      </c>
      <c r="I92" s="190" t="e">
        <f t="shared" ca="1" si="124"/>
        <v>#N/A</v>
      </c>
      <c r="J92" s="191" t="e">
        <f>IF('Front sheet'!K37="",NA(),'Front sheet'!J37)</f>
        <v>#N/A</v>
      </c>
      <c r="K92" s="10" t="str">
        <f t="shared" si="100"/>
        <v/>
      </c>
      <c r="L92" s="9" t="e">
        <f t="shared" ca="1" si="101"/>
        <v>#N/A</v>
      </c>
      <c r="M92" s="8" t="e">
        <f t="shared" ca="1" si="102"/>
        <v>#N/A</v>
      </c>
      <c r="N92" t="e">
        <f t="shared" ca="1" si="103"/>
        <v>#N/A</v>
      </c>
      <c r="O92" s="8" t="e">
        <f t="shared" ca="1" si="147"/>
        <v>#N/A</v>
      </c>
      <c r="P92" t="e">
        <f t="shared" ca="1" si="104"/>
        <v>#N/A</v>
      </c>
      <c r="Q92" s="8">
        <f>IF(ISERROR($F92),0,IF($F92&gt;$H92,MAX($Q$8:Q91)+1,0))</f>
        <v>0</v>
      </c>
      <c r="R92" s="8">
        <f>IF(ISERROR($F92),0,IF($F92&lt;$I92,MAX($R$8:R91)+1,0))</f>
        <v>0</v>
      </c>
      <c r="T92" s="8">
        <f t="shared" si="105"/>
        <v>0</v>
      </c>
      <c r="U92" s="8">
        <f t="shared" ca="1" si="125"/>
        <v>0</v>
      </c>
      <c r="W92" s="8">
        <f t="shared" si="106"/>
        <v>0</v>
      </c>
      <c r="X92" s="8">
        <f t="shared" ca="1" si="126"/>
        <v>0</v>
      </c>
      <c r="Z92" s="8">
        <f t="shared" si="107"/>
        <v>0</v>
      </c>
      <c r="AA92" s="8">
        <f t="shared" si="127"/>
        <v>0</v>
      </c>
      <c r="AC92" s="8">
        <f t="shared" si="108"/>
        <v>0</v>
      </c>
      <c r="AD92" s="8">
        <f t="shared" si="128"/>
        <v>0</v>
      </c>
      <c r="AF92" s="8">
        <f t="shared" si="129"/>
        <v>0</v>
      </c>
      <c r="AG92" s="8">
        <f t="shared" si="130"/>
        <v>0</v>
      </c>
      <c r="AH92" s="8">
        <f t="shared" si="131"/>
        <v>0</v>
      </c>
      <c r="AI92" s="8">
        <f t="shared" si="132"/>
        <v>0</v>
      </c>
      <c r="AK92" s="11" t="e">
        <f t="shared" si="109"/>
        <v>#N/A</v>
      </c>
      <c r="AL92" s="8"/>
      <c r="AN92" s="8"/>
      <c r="AO92" s="8"/>
      <c r="AP92" s="8" t="e">
        <f>IF(C92&lt;=$E$3,IF(OR('Front sheet'!$Q$3="",'Front sheet'!$Q$3=0),NA(),'Front sheet'!$Q$3),NA())</f>
        <v>#N/A</v>
      </c>
      <c r="AQ92" s="8" t="e">
        <f t="shared" ca="1" si="133"/>
        <v>#N/A</v>
      </c>
      <c r="AR92" s="8" t="e">
        <f t="shared" ca="1" si="134"/>
        <v>#N/A</v>
      </c>
      <c r="AS92" s="8" t="e">
        <f t="shared" ca="1" si="135"/>
        <v>#N/A</v>
      </c>
      <c r="AT92" s="8" t="e">
        <f t="shared" ca="1" si="136"/>
        <v>#N/A</v>
      </c>
      <c r="AU92" s="8" t="e">
        <f t="shared" si="110"/>
        <v>#N/A</v>
      </c>
      <c r="AV92" s="8" t="e">
        <f t="shared" ca="1" si="137"/>
        <v>#N/A</v>
      </c>
      <c r="AX92" s="7" t="str">
        <f t="shared" si="111"/>
        <v/>
      </c>
      <c r="AY92" s="2" t="str">
        <f t="shared" si="112"/>
        <v/>
      </c>
      <c r="BA92" s="2">
        <v>84</v>
      </c>
      <c r="BB92">
        <f t="shared" ca="1" si="113"/>
        <v>3</v>
      </c>
      <c r="BC92" s="14" t="str">
        <f t="shared" si="114"/>
        <v/>
      </c>
      <c r="BD92" s="5" t="e">
        <f t="shared" si="91"/>
        <v>#N/A</v>
      </c>
      <c r="BE92" s="5" t="e">
        <f t="shared" si="92"/>
        <v>#N/A</v>
      </c>
      <c r="BF92" s="5" t="e">
        <f t="shared" si="93"/>
        <v>#N/A</v>
      </c>
      <c r="BG92" s="5" t="e">
        <f t="shared" si="94"/>
        <v>#N/A</v>
      </c>
      <c r="BH92" s="5" t="e">
        <f t="shared" si="95"/>
        <v>#N/A</v>
      </c>
      <c r="BI92">
        <f t="shared" ca="1" si="115"/>
        <v>1</v>
      </c>
      <c r="BJ92" s="158" t="e">
        <f t="shared" si="116"/>
        <v>#N/A</v>
      </c>
      <c r="BK92" s="158" t="e">
        <f t="shared" si="117"/>
        <v>#N/A</v>
      </c>
      <c r="BL92" s="158" t="e">
        <f t="shared" si="118"/>
        <v>#N/A</v>
      </c>
      <c r="BM92" s="158" t="e">
        <f t="shared" si="119"/>
        <v>#N/A</v>
      </c>
      <c r="BN92" s="19"/>
      <c r="BQ92" s="4">
        <v>84</v>
      </c>
      <c r="BR92" s="4" t="e">
        <f t="shared" si="138"/>
        <v>#N/A</v>
      </c>
      <c r="BS92" s="4" t="e">
        <f t="shared" si="139"/>
        <v>#N/A</v>
      </c>
      <c r="BT92" s="4" t="e">
        <f t="shared" si="140"/>
        <v>#N/A</v>
      </c>
      <c r="BV92" s="4">
        <v>84</v>
      </c>
      <c r="BW92" s="4" t="e">
        <f t="shared" si="141"/>
        <v>#N/A</v>
      </c>
      <c r="BX92" s="4" t="e">
        <f t="shared" si="142"/>
        <v>#N/A</v>
      </c>
      <c r="BZ92" s="4">
        <v>84</v>
      </c>
      <c r="CA92" s="4" t="e">
        <f t="shared" si="143"/>
        <v>#N/A</v>
      </c>
      <c r="CB92" s="4" t="e">
        <f t="shared" si="144"/>
        <v>#N/A</v>
      </c>
      <c r="CC92" s="4" t="e">
        <f t="shared" si="145"/>
        <v>#N/A</v>
      </c>
      <c r="CD92" s="4" t="e">
        <f t="shared" si="146"/>
        <v>#N/A</v>
      </c>
      <c r="CG92" s="4">
        <v>84</v>
      </c>
      <c r="CH92" s="4" t="e">
        <f t="shared" si="120"/>
        <v>#N/A</v>
      </c>
      <c r="CI92" s="4" t="e">
        <f t="shared" si="121"/>
        <v>#N/A</v>
      </c>
      <c r="CJ92" s="4" t="e">
        <f t="shared" si="122"/>
        <v>#N/A</v>
      </c>
      <c r="CL92">
        <f t="shared" si="96"/>
        <v>0</v>
      </c>
      <c r="CM92">
        <f t="shared" si="97"/>
        <v>0</v>
      </c>
    </row>
    <row r="93" spans="2:91" ht="15.75" thickBot="1" x14ac:dyDescent="0.3">
      <c r="B93">
        <f t="shared" si="98"/>
        <v>0</v>
      </c>
      <c r="C93" s="18">
        <v>85</v>
      </c>
      <c r="D93" s="15" t="str">
        <f>IF('Front sheet'!L10="","",'Front sheet'!$L10)</f>
        <v/>
      </c>
      <c r="E93" s="149" t="e">
        <f>IF('Front sheet'!N10="",NA(),'Front sheet'!N10)</f>
        <v>#N/A</v>
      </c>
      <c r="F93" s="195" t="e">
        <f>IF('Front sheet'!N10="",NA(),'Front sheet'!M10/'Front sheet'!N10)</f>
        <v>#N/A</v>
      </c>
      <c r="G93" s="206">
        <f t="shared" ca="1" si="99"/>
        <v>0.87525423728813556</v>
      </c>
      <c r="H93" s="200" t="e">
        <f t="shared" ca="1" si="123"/>
        <v>#N/A</v>
      </c>
      <c r="I93" s="192" t="e">
        <f t="shared" ca="1" si="124"/>
        <v>#N/A</v>
      </c>
      <c r="J93" s="150" t="e">
        <f>IF('Front sheet'!N10="",NA(),'Front sheet'!M10)</f>
        <v>#N/A</v>
      </c>
      <c r="K93" s="10" t="str">
        <f t="shared" si="100"/>
        <v/>
      </c>
      <c r="L93" s="9" t="e">
        <f t="shared" ca="1" si="101"/>
        <v>#N/A</v>
      </c>
      <c r="M93" s="8" t="e">
        <f t="shared" ca="1" si="102"/>
        <v>#N/A</v>
      </c>
      <c r="N93" t="e">
        <f t="shared" ca="1" si="103"/>
        <v>#N/A</v>
      </c>
      <c r="O93" s="8" t="e">
        <f t="shared" ca="1" si="147"/>
        <v>#N/A</v>
      </c>
      <c r="P93" t="e">
        <f t="shared" ca="1" si="104"/>
        <v>#N/A</v>
      </c>
      <c r="Q93" s="8">
        <f>IF(ISERROR($F93),0,IF($F93&gt;$H93,MAX($Q$8:Q92)+1,0))</f>
        <v>0</v>
      </c>
      <c r="R93" s="8">
        <f>IF(ISERROR($F93),0,IF($F93&lt;$I93,MAX($R$8:R92)+1,0))</f>
        <v>0</v>
      </c>
      <c r="T93" s="8">
        <f t="shared" si="105"/>
        <v>0</v>
      </c>
      <c r="U93" s="8">
        <f t="shared" ca="1" si="125"/>
        <v>0</v>
      </c>
      <c r="W93" s="8">
        <f t="shared" si="106"/>
        <v>0</v>
      </c>
      <c r="X93" s="8">
        <f t="shared" ca="1" si="126"/>
        <v>0</v>
      </c>
      <c r="Z93" s="8">
        <f t="shared" si="107"/>
        <v>0</v>
      </c>
      <c r="AA93" s="8">
        <f t="shared" si="127"/>
        <v>0</v>
      </c>
      <c r="AC93" s="8">
        <f t="shared" si="108"/>
        <v>0</v>
      </c>
      <c r="AD93" s="8">
        <f t="shared" si="128"/>
        <v>0</v>
      </c>
      <c r="AF93" s="8">
        <f t="shared" si="129"/>
        <v>0</v>
      </c>
      <c r="AG93" s="8">
        <f t="shared" si="130"/>
        <v>0</v>
      </c>
      <c r="AH93" s="8">
        <f t="shared" si="131"/>
        <v>0</v>
      </c>
      <c r="AI93" s="8">
        <f t="shared" si="132"/>
        <v>0</v>
      </c>
      <c r="AK93" s="11" t="e">
        <f t="shared" si="109"/>
        <v>#N/A</v>
      </c>
      <c r="AL93" s="8"/>
      <c r="AN93" s="8"/>
      <c r="AO93" s="8"/>
      <c r="AP93" s="8" t="e">
        <f>IF(C93&lt;=$E$3,IF(OR('Front sheet'!$Q$3="",'Front sheet'!$Q$3=0),NA(),'Front sheet'!$Q$3),NA())</f>
        <v>#N/A</v>
      </c>
      <c r="AQ93" s="8" t="e">
        <f t="shared" ca="1" si="133"/>
        <v>#N/A</v>
      </c>
      <c r="AR93" s="8" t="e">
        <f t="shared" ca="1" si="134"/>
        <v>#N/A</v>
      </c>
      <c r="AS93" s="8" t="e">
        <f t="shared" ca="1" si="135"/>
        <v>#N/A</v>
      </c>
      <c r="AT93" s="8" t="e">
        <f t="shared" ca="1" si="136"/>
        <v>#N/A</v>
      </c>
      <c r="AU93" s="8" t="e">
        <f t="shared" si="110"/>
        <v>#N/A</v>
      </c>
      <c r="AV93" s="8" t="e">
        <f t="shared" ca="1" si="137"/>
        <v>#N/A</v>
      </c>
      <c r="AX93" s="7" t="str">
        <f t="shared" si="111"/>
        <v/>
      </c>
      <c r="AY93" s="2" t="str">
        <f t="shared" si="112"/>
        <v/>
      </c>
      <c r="BA93" s="2">
        <v>85</v>
      </c>
      <c r="BB93">
        <f t="shared" ca="1" si="113"/>
        <v>3</v>
      </c>
      <c r="BC93" s="14" t="str">
        <f t="shared" si="114"/>
        <v/>
      </c>
      <c r="BD93" s="5" t="e">
        <f>IF($BD$6=0,#N/A,IF(BB93=BD$7,$J93-$BC$2,#N/A))</f>
        <v>#N/A</v>
      </c>
      <c r="BE93" s="5" t="e">
        <f>IF($BE$6=0,#N/A,IF($BB93=BE$7,$J93-$BC$2,#N/A))</f>
        <v>#N/A</v>
      </c>
      <c r="BF93" s="5" t="e">
        <f>IF($BF$6=0,#N/A,IF($BB93=BF$7,$J93-$BC$2,#N/A))</f>
        <v>#N/A</v>
      </c>
      <c r="BG93" s="5" t="e">
        <f>IF($BG$6=0,#N/A,IF($BB93=BG$7,$J93-$BC$2,#N/A))</f>
        <v>#N/A</v>
      </c>
      <c r="BH93" s="5" t="e">
        <f>IF($BH$6=0,#N/A,IF($BB93=BH$7,$J93-$BC$2,#N/A))</f>
        <v>#N/A</v>
      </c>
      <c r="BI93">
        <f t="shared" ca="1" si="115"/>
        <v>1</v>
      </c>
      <c r="BJ93" s="158" t="e">
        <f t="shared" si="116"/>
        <v>#N/A</v>
      </c>
      <c r="BK93" s="158" t="e">
        <f t="shared" si="117"/>
        <v>#N/A</v>
      </c>
      <c r="BL93" s="158" t="e">
        <f t="shared" si="118"/>
        <v>#N/A</v>
      </c>
      <c r="BM93" s="158" t="e">
        <f t="shared" si="119"/>
        <v>#N/A</v>
      </c>
      <c r="BN93" s="19"/>
      <c r="BQ93" s="4">
        <v>85</v>
      </c>
      <c r="BR93" s="4" t="e">
        <f t="shared" si="138"/>
        <v>#N/A</v>
      </c>
      <c r="BS93" s="4" t="e">
        <f t="shared" si="139"/>
        <v>#N/A</v>
      </c>
      <c r="BT93" s="4" t="e">
        <f t="shared" si="140"/>
        <v>#N/A</v>
      </c>
      <c r="BV93" s="4">
        <v>85</v>
      </c>
      <c r="BW93" s="4" t="e">
        <f t="shared" si="141"/>
        <v>#N/A</v>
      </c>
      <c r="BX93" s="4" t="e">
        <f t="shared" si="142"/>
        <v>#N/A</v>
      </c>
      <c r="BZ93" s="4">
        <v>85</v>
      </c>
      <c r="CA93" s="4" t="e">
        <f t="shared" si="143"/>
        <v>#N/A</v>
      </c>
      <c r="CB93" s="4" t="e">
        <f t="shared" si="144"/>
        <v>#N/A</v>
      </c>
      <c r="CC93" s="4" t="e">
        <f t="shared" si="145"/>
        <v>#N/A</v>
      </c>
      <c r="CD93" s="4" t="e">
        <f t="shared" si="146"/>
        <v>#N/A</v>
      </c>
      <c r="CG93" s="4">
        <v>85</v>
      </c>
      <c r="CH93" s="4" t="e">
        <f t="shared" si="120"/>
        <v>#N/A</v>
      </c>
      <c r="CI93" s="4" t="e">
        <f t="shared" si="121"/>
        <v>#N/A</v>
      </c>
      <c r="CJ93" s="4" t="e">
        <f t="shared" si="122"/>
        <v>#N/A</v>
      </c>
      <c r="CL93">
        <f>IF(ISERROR(J93),0,J93)</f>
        <v>0</v>
      </c>
      <c r="CM93">
        <f>IF(ISERROR(J93),0,1)</f>
        <v>0</v>
      </c>
    </row>
    <row r="94" spans="2:91" ht="15.75" thickBot="1" x14ac:dyDescent="0.3">
      <c r="B94">
        <f t="shared" si="98"/>
        <v>0</v>
      </c>
      <c r="C94" s="16">
        <v>86</v>
      </c>
      <c r="D94" s="15" t="str">
        <f>IF('Front sheet'!L11="","",'Front sheet'!$L11)</f>
        <v/>
      </c>
      <c r="E94" s="149" t="e">
        <f>IF('Front sheet'!N11="",NA(),'Front sheet'!N11)</f>
        <v>#N/A</v>
      </c>
      <c r="F94" s="196" t="e">
        <f>IF('Front sheet'!N11="",NA(),'Front sheet'!M11/'Front sheet'!N11)</f>
        <v>#N/A</v>
      </c>
      <c r="G94" s="205">
        <f t="shared" ca="1" si="99"/>
        <v>0.87525423728813556</v>
      </c>
      <c r="H94" s="201" t="e">
        <f t="shared" ca="1" si="123"/>
        <v>#N/A</v>
      </c>
      <c r="I94" s="157" t="e">
        <f t="shared" ca="1" si="124"/>
        <v>#N/A</v>
      </c>
      <c r="J94" s="151" t="e">
        <f>IF('Front sheet'!N11="",NA(),'Front sheet'!M11)</f>
        <v>#N/A</v>
      </c>
      <c r="K94" s="10" t="str">
        <f t="shared" si="100"/>
        <v/>
      </c>
      <c r="L94" s="9" t="e">
        <f t="shared" ca="1" si="101"/>
        <v>#N/A</v>
      </c>
      <c r="M94" s="8" t="e">
        <f t="shared" ca="1" si="102"/>
        <v>#N/A</v>
      </c>
      <c r="N94" t="e">
        <f t="shared" ca="1" si="103"/>
        <v>#N/A</v>
      </c>
      <c r="O94" s="8" t="e">
        <f t="shared" ca="1" si="147"/>
        <v>#N/A</v>
      </c>
      <c r="P94" t="e">
        <f t="shared" ca="1" si="104"/>
        <v>#N/A</v>
      </c>
      <c r="Q94" s="8">
        <f>IF(ISERROR($F94),0,IF($F94&gt;$H94,MAX($Q$8:Q93)+1,0))</f>
        <v>0</v>
      </c>
      <c r="R94" s="8">
        <f>IF(ISERROR($F94),0,IF($F94&lt;$I94,MAX($R$8:R93)+1,0))</f>
        <v>0</v>
      </c>
      <c r="T94" s="8">
        <f t="shared" si="105"/>
        <v>0</v>
      </c>
      <c r="U94" s="8">
        <f t="shared" ca="1" si="125"/>
        <v>0</v>
      </c>
      <c r="W94" s="8">
        <f t="shared" si="106"/>
        <v>0</v>
      </c>
      <c r="X94" s="8">
        <f t="shared" ca="1" si="126"/>
        <v>0</v>
      </c>
      <c r="Z94" s="8">
        <f t="shared" si="107"/>
        <v>0</v>
      </c>
      <c r="AA94" s="8">
        <f t="shared" si="127"/>
        <v>0</v>
      </c>
      <c r="AC94" s="8">
        <f t="shared" si="108"/>
        <v>0</v>
      </c>
      <c r="AD94" s="8">
        <f t="shared" si="128"/>
        <v>0</v>
      </c>
      <c r="AF94" s="8">
        <f t="shared" si="129"/>
        <v>0</v>
      </c>
      <c r="AG94" s="8">
        <f t="shared" si="130"/>
        <v>0</v>
      </c>
      <c r="AH94" s="8">
        <f t="shared" si="131"/>
        <v>0</v>
      </c>
      <c r="AI94" s="8">
        <f t="shared" si="132"/>
        <v>0</v>
      </c>
      <c r="AK94" s="11" t="e">
        <f t="shared" si="109"/>
        <v>#N/A</v>
      </c>
      <c r="AL94" s="8"/>
      <c r="AN94" s="8"/>
      <c r="AO94" s="8"/>
      <c r="AP94" s="8" t="e">
        <f>IF(C94&lt;=$E$3,IF(OR('Front sheet'!$Q$3="",'Front sheet'!$Q$3=0),NA(),'Front sheet'!$Q$3),NA())</f>
        <v>#N/A</v>
      </c>
      <c r="AQ94" s="8" t="e">
        <f t="shared" ca="1" si="133"/>
        <v>#N/A</v>
      </c>
      <c r="AR94" s="8" t="e">
        <f t="shared" ca="1" si="134"/>
        <v>#N/A</v>
      </c>
      <c r="AS94" s="8" t="e">
        <f t="shared" ca="1" si="135"/>
        <v>#N/A</v>
      </c>
      <c r="AT94" s="8" t="e">
        <f t="shared" ca="1" si="136"/>
        <v>#N/A</v>
      </c>
      <c r="AU94" s="8" t="e">
        <f t="shared" si="110"/>
        <v>#N/A</v>
      </c>
      <c r="AV94" s="8" t="e">
        <f t="shared" ca="1" si="137"/>
        <v>#N/A</v>
      </c>
      <c r="AX94" s="7" t="str">
        <f t="shared" si="111"/>
        <v/>
      </c>
      <c r="AY94" s="2" t="str">
        <f t="shared" si="112"/>
        <v/>
      </c>
      <c r="BA94" s="2">
        <v>86</v>
      </c>
      <c r="BB94">
        <f t="shared" ca="1" si="113"/>
        <v>3</v>
      </c>
      <c r="BC94" s="14" t="str">
        <f t="shared" si="114"/>
        <v/>
      </c>
      <c r="BD94" s="5" t="e">
        <f t="shared" ref="BD94:BD120" si="148">IF($BD$6=0,#N/A,IF(BB94=BD$7,$F94-$BC$2,#N/A))</f>
        <v>#N/A</v>
      </c>
      <c r="BE94" s="5" t="e">
        <f t="shared" ref="BE94:BE120" si="149">IF($BE$6=0,#N/A,IF($BB94=BE$7,$F94-$BC$2,#N/A))</f>
        <v>#N/A</v>
      </c>
      <c r="BF94" s="5" t="e">
        <f t="shared" ref="BF94:BF120" si="150">IF($BF$6=0,#N/A,IF($BB94=BF$7,$F94-$BC$2,#N/A))</f>
        <v>#N/A</v>
      </c>
      <c r="BG94" s="5" t="e">
        <f t="shared" ref="BG94:BG120" si="151">IF($BG$6=0,#N/A,IF($BB94=BG$7,$F94-$BC$2,#N/A))</f>
        <v>#N/A</v>
      </c>
      <c r="BH94" s="5" t="e">
        <f t="shared" ref="BH94:BH120" si="152">IF($BH$6=0,#N/A,IF($BB94=BH$7,$F94-$BC$2,#N/A))</f>
        <v>#N/A</v>
      </c>
      <c r="BI94">
        <f t="shared" ca="1" si="115"/>
        <v>1</v>
      </c>
      <c r="BJ94" s="158" t="e">
        <f t="shared" si="116"/>
        <v>#N/A</v>
      </c>
      <c r="BK94" s="158" t="e">
        <f t="shared" si="117"/>
        <v>#N/A</v>
      </c>
      <c r="BL94" s="158" t="e">
        <f t="shared" si="118"/>
        <v>#N/A</v>
      </c>
      <c r="BM94" s="158" t="e">
        <f t="shared" si="119"/>
        <v>#N/A</v>
      </c>
      <c r="BN94" s="19"/>
      <c r="BQ94" s="4">
        <v>86</v>
      </c>
      <c r="BR94" s="4" t="e">
        <f t="shared" si="138"/>
        <v>#N/A</v>
      </c>
      <c r="BS94" s="4" t="e">
        <f t="shared" si="139"/>
        <v>#N/A</v>
      </c>
      <c r="BT94" s="4" t="e">
        <f t="shared" si="140"/>
        <v>#N/A</v>
      </c>
      <c r="BV94" s="4">
        <v>86</v>
      </c>
      <c r="BW94" s="4" t="e">
        <f t="shared" si="141"/>
        <v>#N/A</v>
      </c>
      <c r="BX94" s="4" t="e">
        <f t="shared" si="142"/>
        <v>#N/A</v>
      </c>
      <c r="BZ94" s="4">
        <v>86</v>
      </c>
      <c r="CA94" s="4" t="e">
        <f t="shared" si="143"/>
        <v>#N/A</v>
      </c>
      <c r="CB94" s="4" t="e">
        <f t="shared" si="144"/>
        <v>#N/A</v>
      </c>
      <c r="CC94" s="4" t="e">
        <f t="shared" si="145"/>
        <v>#N/A</v>
      </c>
      <c r="CD94" s="4" t="e">
        <f t="shared" si="146"/>
        <v>#N/A</v>
      </c>
      <c r="CG94" s="4">
        <v>86</v>
      </c>
      <c r="CH94" s="4" t="e">
        <f t="shared" si="120"/>
        <v>#N/A</v>
      </c>
      <c r="CI94" s="4" t="e">
        <f t="shared" si="121"/>
        <v>#N/A</v>
      </c>
      <c r="CJ94" s="4" t="e">
        <f t="shared" si="122"/>
        <v>#N/A</v>
      </c>
      <c r="CL94">
        <f t="shared" ref="CL94:CL120" si="153">IF(ISERROR(F94),0,F94)</f>
        <v>0</v>
      </c>
      <c r="CM94">
        <f t="shared" ref="CM94:CM120" si="154">IF(ISERROR(F94),0,1)</f>
        <v>0</v>
      </c>
    </row>
    <row r="95" spans="2:91" ht="15.75" thickBot="1" x14ac:dyDescent="0.3">
      <c r="B95">
        <f t="shared" si="98"/>
        <v>0</v>
      </c>
      <c r="C95" s="16">
        <v>87</v>
      </c>
      <c r="D95" s="15" t="str">
        <f>IF('Front sheet'!L12="","",'Front sheet'!$L12)</f>
        <v/>
      </c>
      <c r="E95" s="149" t="e">
        <f>IF('Front sheet'!N12="",NA(),'Front sheet'!N12)</f>
        <v>#N/A</v>
      </c>
      <c r="F95" s="196" t="e">
        <f>IF('Front sheet'!N12="",NA(),'Front sheet'!M12/'Front sheet'!N12)</f>
        <v>#N/A</v>
      </c>
      <c r="G95" s="205">
        <f t="shared" ca="1" si="99"/>
        <v>0.87525423728813556</v>
      </c>
      <c r="H95" s="201" t="e">
        <f t="shared" ca="1" si="123"/>
        <v>#N/A</v>
      </c>
      <c r="I95" s="157" t="e">
        <f t="shared" ca="1" si="124"/>
        <v>#N/A</v>
      </c>
      <c r="J95" s="151" t="e">
        <f>IF('Front sheet'!N12="",NA(),'Front sheet'!M12)</f>
        <v>#N/A</v>
      </c>
      <c r="K95" s="10" t="str">
        <f t="shared" si="100"/>
        <v/>
      </c>
      <c r="L95" s="9" t="e">
        <f t="shared" ca="1" si="101"/>
        <v>#N/A</v>
      </c>
      <c r="M95" s="8" t="e">
        <f t="shared" ca="1" si="102"/>
        <v>#N/A</v>
      </c>
      <c r="N95" t="e">
        <f t="shared" ca="1" si="103"/>
        <v>#N/A</v>
      </c>
      <c r="O95" s="8" t="e">
        <f t="shared" ca="1" si="147"/>
        <v>#N/A</v>
      </c>
      <c r="P95" t="e">
        <f t="shared" ca="1" si="104"/>
        <v>#N/A</v>
      </c>
      <c r="Q95" s="8">
        <f>IF(ISERROR($F95),0,IF($F95&gt;$H95,MAX($Q$8:Q94)+1,0))</f>
        <v>0</v>
      </c>
      <c r="R95" s="8">
        <f>IF(ISERROR($F95),0,IF($F95&lt;$I95,MAX($R$8:R94)+1,0))</f>
        <v>0</v>
      </c>
      <c r="T95" s="8">
        <f t="shared" si="105"/>
        <v>0</v>
      </c>
      <c r="U95" s="8">
        <f t="shared" ca="1" si="125"/>
        <v>0</v>
      </c>
      <c r="W95" s="8">
        <f t="shared" si="106"/>
        <v>0</v>
      </c>
      <c r="X95" s="8">
        <f t="shared" ca="1" si="126"/>
        <v>0</v>
      </c>
      <c r="Z95" s="8">
        <f t="shared" si="107"/>
        <v>0</v>
      </c>
      <c r="AA95" s="8">
        <f t="shared" si="127"/>
        <v>0</v>
      </c>
      <c r="AC95" s="8">
        <f t="shared" si="108"/>
        <v>0</v>
      </c>
      <c r="AD95" s="8">
        <f t="shared" si="128"/>
        <v>0</v>
      </c>
      <c r="AF95" s="8">
        <f t="shared" si="129"/>
        <v>0</v>
      </c>
      <c r="AG95" s="8">
        <f t="shared" si="130"/>
        <v>0</v>
      </c>
      <c r="AH95" s="8">
        <f t="shared" si="131"/>
        <v>0</v>
      </c>
      <c r="AI95" s="8">
        <f t="shared" si="132"/>
        <v>0</v>
      </c>
      <c r="AK95" s="11" t="e">
        <f t="shared" si="109"/>
        <v>#N/A</v>
      </c>
      <c r="AL95" s="8"/>
      <c r="AN95" s="8"/>
      <c r="AO95" s="8"/>
      <c r="AP95" s="8" t="e">
        <f>IF(C95&lt;=$E$3,IF(OR('Front sheet'!$Q$3="",'Front sheet'!$Q$3=0),NA(),'Front sheet'!$Q$3),NA())</f>
        <v>#N/A</v>
      </c>
      <c r="AQ95" s="8" t="e">
        <f t="shared" ca="1" si="133"/>
        <v>#N/A</v>
      </c>
      <c r="AR95" s="8" t="e">
        <f t="shared" ca="1" si="134"/>
        <v>#N/A</v>
      </c>
      <c r="AS95" s="8" t="e">
        <f t="shared" ca="1" si="135"/>
        <v>#N/A</v>
      </c>
      <c r="AT95" s="8" t="e">
        <f t="shared" ca="1" si="136"/>
        <v>#N/A</v>
      </c>
      <c r="AU95" s="8" t="e">
        <f t="shared" si="110"/>
        <v>#N/A</v>
      </c>
      <c r="AV95" s="8" t="e">
        <f t="shared" ca="1" si="137"/>
        <v>#N/A</v>
      </c>
      <c r="AX95" s="7" t="str">
        <f t="shared" si="111"/>
        <v/>
      </c>
      <c r="AY95" s="2" t="str">
        <f t="shared" si="112"/>
        <v/>
      </c>
      <c r="BA95" s="2">
        <v>87</v>
      </c>
      <c r="BB95">
        <f t="shared" ca="1" si="113"/>
        <v>3</v>
      </c>
      <c r="BC95" s="14" t="str">
        <f t="shared" si="114"/>
        <v/>
      </c>
      <c r="BD95" s="5" t="e">
        <f t="shared" si="148"/>
        <v>#N/A</v>
      </c>
      <c r="BE95" s="5" t="e">
        <f t="shared" si="149"/>
        <v>#N/A</v>
      </c>
      <c r="BF95" s="5" t="e">
        <f t="shared" si="150"/>
        <v>#N/A</v>
      </c>
      <c r="BG95" s="5" t="e">
        <f t="shared" si="151"/>
        <v>#N/A</v>
      </c>
      <c r="BH95" s="5" t="e">
        <f t="shared" si="152"/>
        <v>#N/A</v>
      </c>
      <c r="BI95">
        <f t="shared" ca="1" si="115"/>
        <v>1</v>
      </c>
      <c r="BJ95" s="158" t="e">
        <f t="shared" si="116"/>
        <v>#N/A</v>
      </c>
      <c r="BK95" s="158" t="e">
        <f t="shared" si="117"/>
        <v>#N/A</v>
      </c>
      <c r="BL95" s="158" t="e">
        <f t="shared" si="118"/>
        <v>#N/A</v>
      </c>
      <c r="BM95" s="158" t="e">
        <f t="shared" si="119"/>
        <v>#N/A</v>
      </c>
      <c r="BN95" s="19"/>
      <c r="BQ95" s="4">
        <v>87</v>
      </c>
      <c r="BR95" s="4" t="e">
        <f t="shared" si="138"/>
        <v>#N/A</v>
      </c>
      <c r="BS95" s="4" t="e">
        <f t="shared" si="139"/>
        <v>#N/A</v>
      </c>
      <c r="BT95" s="4" t="e">
        <f t="shared" si="140"/>
        <v>#N/A</v>
      </c>
      <c r="BV95" s="4">
        <v>87</v>
      </c>
      <c r="BW95" s="4" t="e">
        <f t="shared" si="141"/>
        <v>#N/A</v>
      </c>
      <c r="BX95" s="4" t="e">
        <f t="shared" si="142"/>
        <v>#N/A</v>
      </c>
      <c r="BZ95" s="4">
        <v>87</v>
      </c>
      <c r="CA95" s="4" t="e">
        <f t="shared" si="143"/>
        <v>#N/A</v>
      </c>
      <c r="CB95" s="4" t="e">
        <f t="shared" si="144"/>
        <v>#N/A</v>
      </c>
      <c r="CC95" s="4" t="e">
        <f t="shared" si="145"/>
        <v>#N/A</v>
      </c>
      <c r="CD95" s="4" t="e">
        <f t="shared" si="146"/>
        <v>#N/A</v>
      </c>
      <c r="CG95" s="4">
        <v>87</v>
      </c>
      <c r="CH95" s="4" t="e">
        <f t="shared" si="120"/>
        <v>#N/A</v>
      </c>
      <c r="CI95" s="4" t="e">
        <f t="shared" si="121"/>
        <v>#N/A</v>
      </c>
      <c r="CJ95" s="4" t="e">
        <f t="shared" si="122"/>
        <v>#N/A</v>
      </c>
      <c r="CL95">
        <f t="shared" si="153"/>
        <v>0</v>
      </c>
      <c r="CM95">
        <f t="shared" si="154"/>
        <v>0</v>
      </c>
    </row>
    <row r="96" spans="2:91" ht="15.75" thickBot="1" x14ac:dyDescent="0.3">
      <c r="B96">
        <f t="shared" si="98"/>
        <v>0</v>
      </c>
      <c r="C96" s="16">
        <v>88</v>
      </c>
      <c r="D96" s="15" t="str">
        <f>IF('Front sheet'!L13="","",'Front sheet'!$L13)</f>
        <v/>
      </c>
      <c r="E96" s="149" t="e">
        <f>IF('Front sheet'!N13="",NA(),'Front sheet'!N13)</f>
        <v>#N/A</v>
      </c>
      <c r="F96" s="196" t="e">
        <f>IF('Front sheet'!N13="",NA(),'Front sheet'!M13/'Front sheet'!N13)</f>
        <v>#N/A</v>
      </c>
      <c r="G96" s="205">
        <f t="shared" ca="1" si="99"/>
        <v>0.87525423728813556</v>
      </c>
      <c r="H96" s="201" t="e">
        <f t="shared" ca="1" si="123"/>
        <v>#N/A</v>
      </c>
      <c r="I96" s="157" t="e">
        <f t="shared" ca="1" si="124"/>
        <v>#N/A</v>
      </c>
      <c r="J96" s="151" t="e">
        <f>IF('Front sheet'!N13="",NA(),'Front sheet'!M13)</f>
        <v>#N/A</v>
      </c>
      <c r="K96" s="10" t="str">
        <f t="shared" si="100"/>
        <v/>
      </c>
      <c r="L96" s="9" t="e">
        <f t="shared" ca="1" si="101"/>
        <v>#N/A</v>
      </c>
      <c r="M96" s="8" t="e">
        <f t="shared" ca="1" si="102"/>
        <v>#N/A</v>
      </c>
      <c r="N96" t="e">
        <f t="shared" ca="1" si="103"/>
        <v>#N/A</v>
      </c>
      <c r="O96" s="8" t="e">
        <f t="shared" ca="1" si="147"/>
        <v>#N/A</v>
      </c>
      <c r="P96" t="e">
        <f t="shared" ca="1" si="104"/>
        <v>#N/A</v>
      </c>
      <c r="Q96" s="8">
        <f>IF(ISERROR($F96),0,IF($F96&gt;$H96,MAX($Q$8:Q95)+1,0))</f>
        <v>0</v>
      </c>
      <c r="R96" s="8">
        <f>IF(ISERROR($F96),0,IF($F96&lt;$I96,MAX($R$8:R95)+1,0))</f>
        <v>0</v>
      </c>
      <c r="T96" s="8">
        <f t="shared" si="105"/>
        <v>0</v>
      </c>
      <c r="U96" s="8">
        <f t="shared" ca="1" si="125"/>
        <v>0</v>
      </c>
      <c r="W96" s="8">
        <f t="shared" si="106"/>
        <v>0</v>
      </c>
      <c r="X96" s="8">
        <f t="shared" ca="1" si="126"/>
        <v>0</v>
      </c>
      <c r="Z96" s="8">
        <f t="shared" si="107"/>
        <v>0</v>
      </c>
      <c r="AA96" s="8">
        <f t="shared" si="127"/>
        <v>0</v>
      </c>
      <c r="AC96" s="8">
        <f t="shared" si="108"/>
        <v>0</v>
      </c>
      <c r="AD96" s="8">
        <f t="shared" si="128"/>
        <v>0</v>
      </c>
      <c r="AF96" s="8">
        <f t="shared" si="129"/>
        <v>0</v>
      </c>
      <c r="AG96" s="8">
        <f t="shared" si="130"/>
        <v>0</v>
      </c>
      <c r="AH96" s="8">
        <f t="shared" si="131"/>
        <v>0</v>
      </c>
      <c r="AI96" s="8">
        <f t="shared" si="132"/>
        <v>0</v>
      </c>
      <c r="AK96" s="11" t="e">
        <f t="shared" si="109"/>
        <v>#N/A</v>
      </c>
      <c r="AL96" s="8"/>
      <c r="AN96" s="8"/>
      <c r="AO96" s="8"/>
      <c r="AP96" s="8" t="e">
        <f>IF(C96&lt;=$E$3,IF(OR('Front sheet'!$Q$3="",'Front sheet'!$Q$3=0),NA(),'Front sheet'!$Q$3),NA())</f>
        <v>#N/A</v>
      </c>
      <c r="AQ96" s="8" t="e">
        <f t="shared" ca="1" si="133"/>
        <v>#N/A</v>
      </c>
      <c r="AR96" s="8" t="e">
        <f t="shared" ca="1" si="134"/>
        <v>#N/A</v>
      </c>
      <c r="AS96" s="8" t="e">
        <f t="shared" ca="1" si="135"/>
        <v>#N/A</v>
      </c>
      <c r="AT96" s="8" t="e">
        <f t="shared" ca="1" si="136"/>
        <v>#N/A</v>
      </c>
      <c r="AU96" s="8" t="e">
        <f t="shared" si="110"/>
        <v>#N/A</v>
      </c>
      <c r="AV96" s="8" t="e">
        <f t="shared" ca="1" si="137"/>
        <v>#N/A</v>
      </c>
      <c r="AX96" s="7" t="str">
        <f t="shared" si="111"/>
        <v/>
      </c>
      <c r="AY96" s="2" t="str">
        <f t="shared" si="112"/>
        <v/>
      </c>
      <c r="BA96" s="2">
        <v>88</v>
      </c>
      <c r="BB96">
        <f t="shared" ca="1" si="113"/>
        <v>3</v>
      </c>
      <c r="BC96" s="14" t="str">
        <f t="shared" si="114"/>
        <v/>
      </c>
      <c r="BD96" s="5" t="e">
        <f t="shared" si="148"/>
        <v>#N/A</v>
      </c>
      <c r="BE96" s="5" t="e">
        <f t="shared" si="149"/>
        <v>#N/A</v>
      </c>
      <c r="BF96" s="5" t="e">
        <f t="shared" si="150"/>
        <v>#N/A</v>
      </c>
      <c r="BG96" s="5" t="e">
        <f t="shared" si="151"/>
        <v>#N/A</v>
      </c>
      <c r="BH96" s="5" t="e">
        <f t="shared" si="152"/>
        <v>#N/A</v>
      </c>
      <c r="BI96">
        <f t="shared" ca="1" si="115"/>
        <v>1</v>
      </c>
      <c r="BJ96" s="158" t="e">
        <f t="shared" si="116"/>
        <v>#N/A</v>
      </c>
      <c r="BK96" s="158" t="e">
        <f t="shared" si="117"/>
        <v>#N/A</v>
      </c>
      <c r="BL96" s="158" t="e">
        <f t="shared" si="118"/>
        <v>#N/A</v>
      </c>
      <c r="BM96" s="158" t="e">
        <f t="shared" si="119"/>
        <v>#N/A</v>
      </c>
      <c r="BN96" s="19"/>
      <c r="BQ96" s="4">
        <v>88</v>
      </c>
      <c r="BR96" s="4" t="e">
        <f t="shared" si="138"/>
        <v>#N/A</v>
      </c>
      <c r="BS96" s="4" t="e">
        <f t="shared" si="139"/>
        <v>#N/A</v>
      </c>
      <c r="BT96" s="4" t="e">
        <f t="shared" si="140"/>
        <v>#N/A</v>
      </c>
      <c r="BV96" s="4">
        <v>88</v>
      </c>
      <c r="BW96" s="4" t="e">
        <f t="shared" si="141"/>
        <v>#N/A</v>
      </c>
      <c r="BX96" s="4" t="e">
        <f t="shared" si="142"/>
        <v>#N/A</v>
      </c>
      <c r="BZ96" s="4">
        <v>88</v>
      </c>
      <c r="CA96" s="4" t="e">
        <f t="shared" si="143"/>
        <v>#N/A</v>
      </c>
      <c r="CB96" s="4" t="e">
        <f t="shared" si="144"/>
        <v>#N/A</v>
      </c>
      <c r="CC96" s="4" t="e">
        <f t="shared" si="145"/>
        <v>#N/A</v>
      </c>
      <c r="CD96" s="4" t="e">
        <f t="shared" si="146"/>
        <v>#N/A</v>
      </c>
      <c r="CG96" s="4">
        <v>88</v>
      </c>
      <c r="CH96" s="4" t="e">
        <f t="shared" si="120"/>
        <v>#N/A</v>
      </c>
      <c r="CI96" s="4" t="e">
        <f t="shared" si="121"/>
        <v>#N/A</v>
      </c>
      <c r="CJ96" s="4" t="e">
        <f t="shared" si="122"/>
        <v>#N/A</v>
      </c>
      <c r="CL96">
        <f t="shared" si="153"/>
        <v>0</v>
      </c>
      <c r="CM96">
        <f t="shared" si="154"/>
        <v>0</v>
      </c>
    </row>
    <row r="97" spans="2:91" ht="15.75" thickBot="1" x14ac:dyDescent="0.3">
      <c r="B97">
        <f t="shared" si="98"/>
        <v>0</v>
      </c>
      <c r="C97" s="16">
        <v>89</v>
      </c>
      <c r="D97" s="15" t="str">
        <f>IF('Front sheet'!L14="","",'Front sheet'!$L14)</f>
        <v/>
      </c>
      <c r="E97" s="149" t="e">
        <f>IF('Front sheet'!N14="",NA(),'Front sheet'!N14)</f>
        <v>#N/A</v>
      </c>
      <c r="F97" s="196" t="e">
        <f>IF('Front sheet'!N14="",NA(),'Front sheet'!M14/'Front sheet'!N14)</f>
        <v>#N/A</v>
      </c>
      <c r="G97" s="205">
        <f t="shared" ca="1" si="99"/>
        <v>0.87525423728813556</v>
      </c>
      <c r="H97" s="201" t="e">
        <f t="shared" ca="1" si="123"/>
        <v>#N/A</v>
      </c>
      <c r="I97" s="157" t="e">
        <f t="shared" ca="1" si="124"/>
        <v>#N/A</v>
      </c>
      <c r="J97" s="151" t="e">
        <f>IF('Front sheet'!N14="",NA(),'Front sheet'!M14)</f>
        <v>#N/A</v>
      </c>
      <c r="K97" s="10" t="str">
        <f t="shared" si="100"/>
        <v/>
      </c>
      <c r="L97" s="9" t="e">
        <f t="shared" ca="1" si="101"/>
        <v>#N/A</v>
      </c>
      <c r="M97" s="8" t="e">
        <f t="shared" ca="1" si="102"/>
        <v>#N/A</v>
      </c>
      <c r="N97" t="e">
        <f t="shared" ca="1" si="103"/>
        <v>#N/A</v>
      </c>
      <c r="O97" s="8" t="e">
        <f t="shared" ca="1" si="147"/>
        <v>#N/A</v>
      </c>
      <c r="P97" t="e">
        <f t="shared" ca="1" si="104"/>
        <v>#N/A</v>
      </c>
      <c r="Q97" s="8">
        <f>IF(ISERROR($F97),0,IF($F97&gt;$H97,MAX($Q$8:Q96)+1,0))</f>
        <v>0</v>
      </c>
      <c r="R97" s="8">
        <f>IF(ISERROR($F97),0,IF($F97&lt;$I97,MAX($R$8:R96)+1,0))</f>
        <v>0</v>
      </c>
      <c r="T97" s="8">
        <f t="shared" si="105"/>
        <v>0</v>
      </c>
      <c r="U97" s="8">
        <f t="shared" ca="1" si="125"/>
        <v>0</v>
      </c>
      <c r="W97" s="8">
        <f t="shared" si="106"/>
        <v>0</v>
      </c>
      <c r="X97" s="8">
        <f t="shared" ca="1" si="126"/>
        <v>0</v>
      </c>
      <c r="Z97" s="8">
        <f t="shared" si="107"/>
        <v>0</v>
      </c>
      <c r="AA97" s="8">
        <f t="shared" si="127"/>
        <v>0</v>
      </c>
      <c r="AC97" s="8">
        <f t="shared" si="108"/>
        <v>0</v>
      </c>
      <c r="AD97" s="8">
        <f t="shared" si="128"/>
        <v>0</v>
      </c>
      <c r="AF97" s="8">
        <f t="shared" si="129"/>
        <v>0</v>
      </c>
      <c r="AG97" s="8">
        <f t="shared" si="130"/>
        <v>0</v>
      </c>
      <c r="AH97" s="8">
        <f t="shared" si="131"/>
        <v>0</v>
      </c>
      <c r="AI97" s="8">
        <f t="shared" si="132"/>
        <v>0</v>
      </c>
      <c r="AK97" s="11" t="e">
        <f t="shared" si="109"/>
        <v>#N/A</v>
      </c>
      <c r="AL97" s="8"/>
      <c r="AN97" s="8"/>
      <c r="AO97" s="8"/>
      <c r="AP97" s="8" t="e">
        <f>IF(C97&lt;=$E$3,IF(OR('Front sheet'!$Q$3="",'Front sheet'!$Q$3=0),NA(),'Front sheet'!$Q$3),NA())</f>
        <v>#N/A</v>
      </c>
      <c r="AQ97" s="8" t="e">
        <f t="shared" ca="1" si="133"/>
        <v>#N/A</v>
      </c>
      <c r="AR97" s="8" t="e">
        <f t="shared" ca="1" si="134"/>
        <v>#N/A</v>
      </c>
      <c r="AS97" s="8" t="e">
        <f t="shared" ca="1" si="135"/>
        <v>#N/A</v>
      </c>
      <c r="AT97" s="8" t="e">
        <f t="shared" ca="1" si="136"/>
        <v>#N/A</v>
      </c>
      <c r="AU97" s="8" t="e">
        <f t="shared" si="110"/>
        <v>#N/A</v>
      </c>
      <c r="AV97" s="8" t="e">
        <f t="shared" ca="1" si="137"/>
        <v>#N/A</v>
      </c>
      <c r="AX97" s="7" t="str">
        <f t="shared" si="111"/>
        <v/>
      </c>
      <c r="AY97" s="2" t="str">
        <f t="shared" si="112"/>
        <v/>
      </c>
      <c r="BA97" s="2">
        <v>89</v>
      </c>
      <c r="BB97">
        <f t="shared" ca="1" si="113"/>
        <v>3</v>
      </c>
      <c r="BC97" s="14" t="str">
        <f t="shared" si="114"/>
        <v/>
      </c>
      <c r="BD97" s="5" t="e">
        <f t="shared" si="148"/>
        <v>#N/A</v>
      </c>
      <c r="BE97" s="5" t="e">
        <f t="shared" si="149"/>
        <v>#N/A</v>
      </c>
      <c r="BF97" s="5" t="e">
        <f t="shared" si="150"/>
        <v>#N/A</v>
      </c>
      <c r="BG97" s="5" t="e">
        <f t="shared" si="151"/>
        <v>#N/A</v>
      </c>
      <c r="BH97" s="5" t="e">
        <f t="shared" si="152"/>
        <v>#N/A</v>
      </c>
      <c r="BI97">
        <f t="shared" ca="1" si="115"/>
        <v>1</v>
      </c>
      <c r="BJ97" s="158" t="e">
        <f t="shared" si="116"/>
        <v>#N/A</v>
      </c>
      <c r="BK97" s="158" t="e">
        <f t="shared" si="117"/>
        <v>#N/A</v>
      </c>
      <c r="BL97" s="158" t="e">
        <f t="shared" si="118"/>
        <v>#N/A</v>
      </c>
      <c r="BM97" s="158" t="e">
        <f t="shared" si="119"/>
        <v>#N/A</v>
      </c>
      <c r="BN97" s="19"/>
      <c r="BQ97" s="4">
        <v>89</v>
      </c>
      <c r="BR97" s="4" t="e">
        <f t="shared" si="138"/>
        <v>#N/A</v>
      </c>
      <c r="BS97" s="4" t="e">
        <f t="shared" si="139"/>
        <v>#N/A</v>
      </c>
      <c r="BT97" s="4" t="e">
        <f t="shared" si="140"/>
        <v>#N/A</v>
      </c>
      <c r="BV97" s="4">
        <v>89</v>
      </c>
      <c r="BW97" s="4" t="e">
        <f t="shared" si="141"/>
        <v>#N/A</v>
      </c>
      <c r="BX97" s="4" t="e">
        <f t="shared" si="142"/>
        <v>#N/A</v>
      </c>
      <c r="BZ97" s="4">
        <v>89</v>
      </c>
      <c r="CA97" s="4" t="e">
        <f t="shared" si="143"/>
        <v>#N/A</v>
      </c>
      <c r="CB97" s="4" t="e">
        <f t="shared" si="144"/>
        <v>#N/A</v>
      </c>
      <c r="CC97" s="4" t="e">
        <f t="shared" si="145"/>
        <v>#N/A</v>
      </c>
      <c r="CD97" s="4" t="e">
        <f t="shared" si="146"/>
        <v>#N/A</v>
      </c>
      <c r="CG97" s="4">
        <v>89</v>
      </c>
      <c r="CH97" s="4" t="e">
        <f t="shared" si="120"/>
        <v>#N/A</v>
      </c>
      <c r="CI97" s="4" t="e">
        <f t="shared" si="121"/>
        <v>#N/A</v>
      </c>
      <c r="CJ97" s="4" t="e">
        <f t="shared" si="122"/>
        <v>#N/A</v>
      </c>
      <c r="CL97">
        <f t="shared" si="153"/>
        <v>0</v>
      </c>
      <c r="CM97">
        <f t="shared" si="154"/>
        <v>0</v>
      </c>
    </row>
    <row r="98" spans="2:91" ht="15.75" thickBot="1" x14ac:dyDescent="0.3">
      <c r="B98">
        <f t="shared" si="98"/>
        <v>0</v>
      </c>
      <c r="C98" s="16">
        <v>90</v>
      </c>
      <c r="D98" s="15" t="str">
        <f>IF('Front sheet'!L15="","",'Front sheet'!$L15)</f>
        <v/>
      </c>
      <c r="E98" s="149" t="e">
        <f>IF('Front sheet'!N15="",NA(),'Front sheet'!N15)</f>
        <v>#N/A</v>
      </c>
      <c r="F98" s="196" t="e">
        <f>IF('Front sheet'!N15="",NA(),'Front sheet'!M15/'Front sheet'!N15)</f>
        <v>#N/A</v>
      </c>
      <c r="G98" s="205">
        <f t="shared" ca="1" si="99"/>
        <v>0.87525423728813556</v>
      </c>
      <c r="H98" s="201" t="e">
        <f t="shared" ca="1" si="123"/>
        <v>#N/A</v>
      </c>
      <c r="I98" s="157" t="e">
        <f t="shared" ca="1" si="124"/>
        <v>#N/A</v>
      </c>
      <c r="J98" s="151" t="e">
        <f>IF('Front sheet'!N15="",NA(),'Front sheet'!M15)</f>
        <v>#N/A</v>
      </c>
      <c r="K98" s="10" t="str">
        <f t="shared" si="100"/>
        <v/>
      </c>
      <c r="L98" s="9" t="e">
        <f t="shared" ca="1" si="101"/>
        <v>#N/A</v>
      </c>
      <c r="M98" s="8" t="e">
        <f t="shared" ca="1" si="102"/>
        <v>#N/A</v>
      </c>
      <c r="N98" t="e">
        <f t="shared" ca="1" si="103"/>
        <v>#N/A</v>
      </c>
      <c r="O98" s="8" t="e">
        <f t="shared" ca="1" si="147"/>
        <v>#N/A</v>
      </c>
      <c r="P98" t="e">
        <f t="shared" ca="1" si="104"/>
        <v>#N/A</v>
      </c>
      <c r="Q98" s="8">
        <f>IF(ISERROR($F98),0,IF($F98&gt;$H98,MAX($Q$8:Q97)+1,0))</f>
        <v>0</v>
      </c>
      <c r="R98" s="8">
        <f>IF(ISERROR($F98),0,IF($F98&lt;$I98,MAX($R$8:R97)+1,0))</f>
        <v>0</v>
      </c>
      <c r="T98" s="8">
        <f t="shared" si="105"/>
        <v>0</v>
      </c>
      <c r="U98" s="8">
        <f t="shared" ca="1" si="125"/>
        <v>0</v>
      </c>
      <c r="W98" s="8">
        <f t="shared" si="106"/>
        <v>0</v>
      </c>
      <c r="X98" s="8">
        <f t="shared" ca="1" si="126"/>
        <v>0</v>
      </c>
      <c r="Z98" s="8">
        <f t="shared" si="107"/>
        <v>0</v>
      </c>
      <c r="AA98" s="8">
        <f t="shared" si="127"/>
        <v>0</v>
      </c>
      <c r="AC98" s="8">
        <f t="shared" si="108"/>
        <v>0</v>
      </c>
      <c r="AD98" s="8">
        <f t="shared" si="128"/>
        <v>0</v>
      </c>
      <c r="AF98" s="8">
        <f t="shared" si="129"/>
        <v>0</v>
      </c>
      <c r="AG98" s="8">
        <f t="shared" si="130"/>
        <v>0</v>
      </c>
      <c r="AH98" s="8">
        <f t="shared" si="131"/>
        <v>0</v>
      </c>
      <c r="AI98" s="8">
        <f t="shared" si="132"/>
        <v>0</v>
      </c>
      <c r="AK98" s="11" t="e">
        <f t="shared" si="109"/>
        <v>#N/A</v>
      </c>
      <c r="AL98" s="8"/>
      <c r="AN98" s="8"/>
      <c r="AO98" s="8"/>
      <c r="AP98" s="8" t="e">
        <f>IF(C98&lt;=$E$3,IF(OR('Front sheet'!$Q$3="",'Front sheet'!$Q$3=0),NA(),'Front sheet'!$Q$3),NA())</f>
        <v>#N/A</v>
      </c>
      <c r="AQ98" s="8" t="e">
        <f t="shared" ca="1" si="133"/>
        <v>#N/A</v>
      </c>
      <c r="AR98" s="8" t="e">
        <f t="shared" ca="1" si="134"/>
        <v>#N/A</v>
      </c>
      <c r="AS98" s="8" t="e">
        <f t="shared" ca="1" si="135"/>
        <v>#N/A</v>
      </c>
      <c r="AT98" s="8" t="e">
        <f t="shared" ca="1" si="136"/>
        <v>#N/A</v>
      </c>
      <c r="AU98" s="8" t="e">
        <f t="shared" si="110"/>
        <v>#N/A</v>
      </c>
      <c r="AV98" s="8" t="e">
        <f t="shared" ca="1" si="137"/>
        <v>#N/A</v>
      </c>
      <c r="AX98" s="7" t="str">
        <f t="shared" si="111"/>
        <v/>
      </c>
      <c r="AY98" s="2" t="str">
        <f t="shared" si="112"/>
        <v/>
      </c>
      <c r="BA98" s="2">
        <v>90</v>
      </c>
      <c r="BB98">
        <f t="shared" ca="1" si="113"/>
        <v>3</v>
      </c>
      <c r="BC98" s="14" t="str">
        <f t="shared" si="114"/>
        <v/>
      </c>
      <c r="BD98" s="5" t="e">
        <f t="shared" si="148"/>
        <v>#N/A</v>
      </c>
      <c r="BE98" s="5" t="e">
        <f t="shared" si="149"/>
        <v>#N/A</v>
      </c>
      <c r="BF98" s="5" t="e">
        <f t="shared" si="150"/>
        <v>#N/A</v>
      </c>
      <c r="BG98" s="5" t="e">
        <f t="shared" si="151"/>
        <v>#N/A</v>
      </c>
      <c r="BH98" s="5" t="e">
        <f t="shared" si="152"/>
        <v>#N/A</v>
      </c>
      <c r="BI98">
        <f t="shared" ca="1" si="115"/>
        <v>1</v>
      </c>
      <c r="BJ98" s="158" t="e">
        <f t="shared" si="116"/>
        <v>#N/A</v>
      </c>
      <c r="BK98" s="158" t="e">
        <f t="shared" si="117"/>
        <v>#N/A</v>
      </c>
      <c r="BL98" s="158" t="e">
        <f t="shared" si="118"/>
        <v>#N/A</v>
      </c>
      <c r="BM98" s="158" t="e">
        <f t="shared" si="119"/>
        <v>#N/A</v>
      </c>
      <c r="BN98" s="19"/>
      <c r="BQ98" s="4">
        <v>90</v>
      </c>
      <c r="BR98" s="4" t="e">
        <f t="shared" si="138"/>
        <v>#N/A</v>
      </c>
      <c r="BS98" s="4" t="e">
        <f t="shared" si="139"/>
        <v>#N/A</v>
      </c>
      <c r="BT98" s="4" t="e">
        <f t="shared" si="140"/>
        <v>#N/A</v>
      </c>
      <c r="BV98" s="4">
        <v>90</v>
      </c>
      <c r="BW98" s="4" t="e">
        <f t="shared" si="141"/>
        <v>#N/A</v>
      </c>
      <c r="BX98" s="4" t="e">
        <f t="shared" si="142"/>
        <v>#N/A</v>
      </c>
      <c r="BZ98" s="4">
        <v>90</v>
      </c>
      <c r="CA98" s="4" t="e">
        <f t="shared" si="143"/>
        <v>#N/A</v>
      </c>
      <c r="CB98" s="4" t="e">
        <f t="shared" si="144"/>
        <v>#N/A</v>
      </c>
      <c r="CC98" s="4" t="e">
        <f t="shared" si="145"/>
        <v>#N/A</v>
      </c>
      <c r="CD98" s="4" t="e">
        <f t="shared" si="146"/>
        <v>#N/A</v>
      </c>
      <c r="CG98" s="4">
        <v>90</v>
      </c>
      <c r="CH98" s="4" t="e">
        <f t="shared" si="120"/>
        <v>#N/A</v>
      </c>
      <c r="CI98" s="4" t="e">
        <f t="shared" si="121"/>
        <v>#N/A</v>
      </c>
      <c r="CJ98" s="4" t="e">
        <f t="shared" si="122"/>
        <v>#N/A</v>
      </c>
      <c r="CL98">
        <f t="shared" si="153"/>
        <v>0</v>
      </c>
      <c r="CM98">
        <f t="shared" si="154"/>
        <v>0</v>
      </c>
    </row>
    <row r="99" spans="2:91" ht="15.75" thickBot="1" x14ac:dyDescent="0.3">
      <c r="B99">
        <f t="shared" si="98"/>
        <v>0</v>
      </c>
      <c r="C99" s="13">
        <v>91</v>
      </c>
      <c r="D99" s="12" t="str">
        <f>IF('Front sheet'!L16="","",'Front sheet'!$L16)</f>
        <v/>
      </c>
      <c r="E99" s="149" t="e">
        <f>IF('Front sheet'!N16="",NA(),'Front sheet'!N16)</f>
        <v>#N/A</v>
      </c>
      <c r="F99" s="197" t="e">
        <f>IF('Front sheet'!N16="",NA(),'Front sheet'!M16/'Front sheet'!N16)</f>
        <v>#N/A</v>
      </c>
      <c r="G99" s="207">
        <f t="shared" ca="1" si="99"/>
        <v>0.87525423728813556</v>
      </c>
      <c r="H99" s="202" t="e">
        <f t="shared" ca="1" si="123"/>
        <v>#N/A</v>
      </c>
      <c r="I99" s="193" t="e">
        <f t="shared" ca="1" si="124"/>
        <v>#N/A</v>
      </c>
      <c r="J99" s="153" t="e">
        <f>IF('Front sheet'!N16="",NA(),'Front sheet'!M16)</f>
        <v>#N/A</v>
      </c>
      <c r="K99" s="10" t="str">
        <f t="shared" si="100"/>
        <v/>
      </c>
      <c r="L99" s="9" t="e">
        <f t="shared" ca="1" si="101"/>
        <v>#N/A</v>
      </c>
      <c r="M99" s="8" t="e">
        <f t="shared" ca="1" si="102"/>
        <v>#N/A</v>
      </c>
      <c r="N99" t="e">
        <f t="shared" ca="1" si="103"/>
        <v>#N/A</v>
      </c>
      <c r="O99" s="8" t="e">
        <f t="shared" ca="1" si="147"/>
        <v>#N/A</v>
      </c>
      <c r="P99" t="e">
        <f t="shared" ca="1" si="104"/>
        <v>#N/A</v>
      </c>
      <c r="Q99" s="8">
        <f>IF(ISERROR($F99),0,IF($F99&gt;$H99,MAX($Q$8:Q98)+1,0))</f>
        <v>0</v>
      </c>
      <c r="R99" s="8">
        <f>IF(ISERROR($F99),0,IF($F99&lt;$I99,MAX($R$8:R98)+1,0))</f>
        <v>0</v>
      </c>
      <c r="T99" s="8">
        <f t="shared" si="105"/>
        <v>0</v>
      </c>
      <c r="U99" s="8">
        <f t="shared" ca="1" si="125"/>
        <v>0</v>
      </c>
      <c r="W99" s="8">
        <f t="shared" si="106"/>
        <v>0</v>
      </c>
      <c r="X99" s="8">
        <f t="shared" ca="1" si="126"/>
        <v>0</v>
      </c>
      <c r="Z99" s="8">
        <f t="shared" si="107"/>
        <v>0</v>
      </c>
      <c r="AA99" s="8">
        <f t="shared" si="127"/>
        <v>0</v>
      </c>
      <c r="AC99" s="8">
        <f t="shared" si="108"/>
        <v>0</v>
      </c>
      <c r="AD99" s="8">
        <f t="shared" si="128"/>
        <v>0</v>
      </c>
      <c r="AF99" s="8">
        <f t="shared" si="129"/>
        <v>0</v>
      </c>
      <c r="AG99" s="8">
        <f t="shared" si="130"/>
        <v>0</v>
      </c>
      <c r="AH99" s="8">
        <f t="shared" si="131"/>
        <v>0</v>
      </c>
      <c r="AI99" s="8">
        <f t="shared" si="132"/>
        <v>0</v>
      </c>
      <c r="AK99" s="11" t="e">
        <f t="shared" si="109"/>
        <v>#N/A</v>
      </c>
      <c r="AL99" s="8"/>
      <c r="AN99" s="8"/>
      <c r="AO99" s="8"/>
      <c r="AP99" s="8" t="e">
        <f>IF(C99&lt;=$E$3,IF(OR('Front sheet'!$Q$3="",'Front sheet'!$Q$3=0),NA(),'Front sheet'!$Q$3),NA())</f>
        <v>#N/A</v>
      </c>
      <c r="AQ99" s="8" t="e">
        <f t="shared" ca="1" si="133"/>
        <v>#N/A</v>
      </c>
      <c r="AR99" s="8" t="e">
        <f t="shared" ca="1" si="134"/>
        <v>#N/A</v>
      </c>
      <c r="AS99" s="8" t="e">
        <f t="shared" ca="1" si="135"/>
        <v>#N/A</v>
      </c>
      <c r="AT99" s="8" t="e">
        <f t="shared" ca="1" si="136"/>
        <v>#N/A</v>
      </c>
      <c r="AU99" s="8" t="e">
        <f t="shared" si="110"/>
        <v>#N/A</v>
      </c>
      <c r="AV99" s="8" t="e">
        <f t="shared" ca="1" si="137"/>
        <v>#N/A</v>
      </c>
      <c r="AX99" s="7" t="str">
        <f t="shared" si="111"/>
        <v/>
      </c>
      <c r="AY99" s="2" t="str">
        <f t="shared" si="112"/>
        <v/>
      </c>
      <c r="BA99" s="2">
        <v>91</v>
      </c>
      <c r="BB99">
        <f t="shared" ca="1" si="113"/>
        <v>3</v>
      </c>
      <c r="BC99" s="14" t="str">
        <f t="shared" si="114"/>
        <v/>
      </c>
      <c r="BD99" s="5" t="e">
        <f t="shared" si="148"/>
        <v>#N/A</v>
      </c>
      <c r="BE99" s="5" t="e">
        <f t="shared" si="149"/>
        <v>#N/A</v>
      </c>
      <c r="BF99" s="5" t="e">
        <f t="shared" si="150"/>
        <v>#N/A</v>
      </c>
      <c r="BG99" s="5" t="e">
        <f t="shared" si="151"/>
        <v>#N/A</v>
      </c>
      <c r="BH99" s="5" t="e">
        <f t="shared" si="152"/>
        <v>#N/A</v>
      </c>
      <c r="BI99">
        <f t="shared" ca="1" si="115"/>
        <v>1</v>
      </c>
      <c r="BJ99" s="158" t="e">
        <f t="shared" si="116"/>
        <v>#N/A</v>
      </c>
      <c r="BK99" s="158" t="e">
        <f t="shared" si="117"/>
        <v>#N/A</v>
      </c>
      <c r="BL99" s="158" t="e">
        <f t="shared" si="118"/>
        <v>#N/A</v>
      </c>
      <c r="BM99" s="158" t="e">
        <f t="shared" si="119"/>
        <v>#N/A</v>
      </c>
      <c r="BN99" s="19"/>
      <c r="BQ99" s="4">
        <v>91</v>
      </c>
      <c r="BR99" s="4" t="e">
        <f t="shared" si="138"/>
        <v>#N/A</v>
      </c>
      <c r="BS99" s="4" t="e">
        <f t="shared" si="139"/>
        <v>#N/A</v>
      </c>
      <c r="BT99" s="4" t="e">
        <f t="shared" si="140"/>
        <v>#N/A</v>
      </c>
      <c r="BV99" s="4">
        <v>91</v>
      </c>
      <c r="BW99" s="4" t="e">
        <f t="shared" si="141"/>
        <v>#N/A</v>
      </c>
      <c r="BX99" s="4" t="e">
        <f t="shared" si="142"/>
        <v>#N/A</v>
      </c>
      <c r="BZ99" s="4">
        <v>91</v>
      </c>
      <c r="CA99" s="4" t="e">
        <f t="shared" si="143"/>
        <v>#N/A</v>
      </c>
      <c r="CB99" s="4" t="e">
        <f t="shared" si="144"/>
        <v>#N/A</v>
      </c>
      <c r="CC99" s="4" t="e">
        <f t="shared" si="145"/>
        <v>#N/A</v>
      </c>
      <c r="CD99" s="4" t="e">
        <f t="shared" si="146"/>
        <v>#N/A</v>
      </c>
      <c r="CG99" s="4">
        <v>91</v>
      </c>
      <c r="CH99" s="4" t="e">
        <f t="shared" si="120"/>
        <v>#N/A</v>
      </c>
      <c r="CI99" s="4" t="e">
        <f t="shared" si="121"/>
        <v>#N/A</v>
      </c>
      <c r="CJ99" s="4" t="e">
        <f t="shared" si="122"/>
        <v>#N/A</v>
      </c>
      <c r="CL99">
        <f t="shared" si="153"/>
        <v>0</v>
      </c>
      <c r="CM99">
        <f t="shared" si="154"/>
        <v>0</v>
      </c>
    </row>
    <row r="100" spans="2:91" ht="15.75" thickBot="1" x14ac:dyDescent="0.3">
      <c r="B100">
        <f t="shared" si="98"/>
        <v>0</v>
      </c>
      <c r="C100" s="18">
        <v>92</v>
      </c>
      <c r="D100" s="17" t="str">
        <f>IF('Front sheet'!L17="","",'Front sheet'!$L17)</f>
        <v/>
      </c>
      <c r="E100" s="149" t="e">
        <f>IF('Front sheet'!N17="",NA(),'Front sheet'!N17)</f>
        <v>#N/A</v>
      </c>
      <c r="F100" s="198" t="e">
        <f>IF('Front sheet'!N17="",NA(),'Front sheet'!M17/'Front sheet'!N17)</f>
        <v>#N/A</v>
      </c>
      <c r="G100" s="205">
        <f t="shared" ca="1" si="99"/>
        <v>0.87525423728813556</v>
      </c>
      <c r="H100" s="203" t="e">
        <f t="shared" ca="1" si="123"/>
        <v>#N/A</v>
      </c>
      <c r="I100" s="183" t="e">
        <f t="shared" ca="1" si="124"/>
        <v>#N/A</v>
      </c>
      <c r="J100" s="184" t="e">
        <f>IF('Front sheet'!N17="",NA(),'Front sheet'!M17)</f>
        <v>#N/A</v>
      </c>
      <c r="K100" s="10" t="str">
        <f t="shared" si="100"/>
        <v/>
      </c>
      <c r="L100" s="9" t="e">
        <f t="shared" ca="1" si="101"/>
        <v>#N/A</v>
      </c>
      <c r="M100" s="8" t="e">
        <f t="shared" ca="1" si="102"/>
        <v>#N/A</v>
      </c>
      <c r="N100" t="e">
        <f t="shared" ca="1" si="103"/>
        <v>#N/A</v>
      </c>
      <c r="O100" s="8" t="e">
        <f t="shared" ca="1" si="147"/>
        <v>#N/A</v>
      </c>
      <c r="P100" t="e">
        <f t="shared" ca="1" si="104"/>
        <v>#N/A</v>
      </c>
      <c r="Q100" s="8">
        <f>IF(ISERROR($F100),0,IF($F100&gt;$H100,MAX($Q$8:Q99)+1,0))</f>
        <v>0</v>
      </c>
      <c r="R100" s="8">
        <f>IF(ISERROR($F100),0,IF($F100&lt;$I100,MAX($R$8:R99)+1,0))</f>
        <v>0</v>
      </c>
      <c r="T100" s="8">
        <f t="shared" si="105"/>
        <v>0</v>
      </c>
      <c r="U100" s="8">
        <f t="shared" ca="1" si="125"/>
        <v>0</v>
      </c>
      <c r="W100" s="8">
        <f t="shared" si="106"/>
        <v>0</v>
      </c>
      <c r="X100" s="8">
        <f t="shared" ca="1" si="126"/>
        <v>0</v>
      </c>
      <c r="Z100" s="8">
        <f t="shared" si="107"/>
        <v>0</v>
      </c>
      <c r="AA100" s="8">
        <f t="shared" si="127"/>
        <v>0</v>
      </c>
      <c r="AC100" s="8">
        <f t="shared" si="108"/>
        <v>0</v>
      </c>
      <c r="AD100" s="8">
        <f t="shared" si="128"/>
        <v>0</v>
      </c>
      <c r="AF100" s="8">
        <f t="shared" si="129"/>
        <v>0</v>
      </c>
      <c r="AG100" s="8">
        <f t="shared" si="130"/>
        <v>0</v>
      </c>
      <c r="AH100" s="8">
        <f t="shared" si="131"/>
        <v>0</v>
      </c>
      <c r="AI100" s="8">
        <f t="shared" si="132"/>
        <v>0</v>
      </c>
      <c r="AK100" s="11" t="e">
        <f t="shared" si="109"/>
        <v>#N/A</v>
      </c>
      <c r="AL100" s="8"/>
      <c r="AN100" s="8"/>
      <c r="AO100" s="8"/>
      <c r="AP100" s="8" t="e">
        <f>IF(C100&lt;=$E$3,IF(OR('Front sheet'!$Q$3="",'Front sheet'!$Q$3=0),NA(),'Front sheet'!$Q$3),NA())</f>
        <v>#N/A</v>
      </c>
      <c r="AQ100" s="8" t="e">
        <f t="shared" ca="1" si="133"/>
        <v>#N/A</v>
      </c>
      <c r="AR100" s="8" t="e">
        <f t="shared" ca="1" si="134"/>
        <v>#N/A</v>
      </c>
      <c r="AS100" s="8" t="e">
        <f t="shared" ca="1" si="135"/>
        <v>#N/A</v>
      </c>
      <c r="AT100" s="8" t="e">
        <f t="shared" ca="1" si="136"/>
        <v>#N/A</v>
      </c>
      <c r="AU100" s="8" t="e">
        <f t="shared" si="110"/>
        <v>#N/A</v>
      </c>
      <c r="AV100" s="8" t="e">
        <f t="shared" ca="1" si="137"/>
        <v>#N/A</v>
      </c>
      <c r="AX100" s="7" t="str">
        <f t="shared" si="111"/>
        <v/>
      </c>
      <c r="AY100" s="2" t="str">
        <f t="shared" si="112"/>
        <v/>
      </c>
      <c r="BA100" s="2">
        <v>92</v>
      </c>
      <c r="BB100">
        <f t="shared" ca="1" si="113"/>
        <v>3</v>
      </c>
      <c r="BC100" s="14" t="str">
        <f t="shared" si="114"/>
        <v/>
      </c>
      <c r="BD100" s="5" t="e">
        <f t="shared" si="148"/>
        <v>#N/A</v>
      </c>
      <c r="BE100" s="5" t="e">
        <f t="shared" si="149"/>
        <v>#N/A</v>
      </c>
      <c r="BF100" s="5" t="e">
        <f t="shared" si="150"/>
        <v>#N/A</v>
      </c>
      <c r="BG100" s="5" t="e">
        <f t="shared" si="151"/>
        <v>#N/A</v>
      </c>
      <c r="BH100" s="5" t="e">
        <f t="shared" si="152"/>
        <v>#N/A</v>
      </c>
      <c r="BI100">
        <f t="shared" ca="1" si="115"/>
        <v>1</v>
      </c>
      <c r="BJ100" s="158" t="e">
        <f t="shared" si="116"/>
        <v>#N/A</v>
      </c>
      <c r="BK100" s="158" t="e">
        <f t="shared" si="117"/>
        <v>#N/A</v>
      </c>
      <c r="BL100" s="158" t="e">
        <f t="shared" si="118"/>
        <v>#N/A</v>
      </c>
      <c r="BM100" s="158" t="e">
        <f t="shared" si="119"/>
        <v>#N/A</v>
      </c>
      <c r="BN100" s="19"/>
      <c r="BQ100" s="4">
        <v>92</v>
      </c>
      <c r="BR100" s="4" t="e">
        <f t="shared" si="138"/>
        <v>#N/A</v>
      </c>
      <c r="BS100" s="4" t="e">
        <f t="shared" si="139"/>
        <v>#N/A</v>
      </c>
      <c r="BT100" s="4" t="e">
        <f t="shared" si="140"/>
        <v>#N/A</v>
      </c>
      <c r="BV100" s="4">
        <v>92</v>
      </c>
      <c r="BW100" s="4" t="e">
        <f t="shared" si="141"/>
        <v>#N/A</v>
      </c>
      <c r="BX100" s="4" t="e">
        <f t="shared" si="142"/>
        <v>#N/A</v>
      </c>
      <c r="BZ100" s="4">
        <v>92</v>
      </c>
      <c r="CA100" s="4" t="e">
        <f t="shared" si="143"/>
        <v>#N/A</v>
      </c>
      <c r="CB100" s="4" t="e">
        <f t="shared" si="144"/>
        <v>#N/A</v>
      </c>
      <c r="CC100" s="4" t="e">
        <f t="shared" si="145"/>
        <v>#N/A</v>
      </c>
      <c r="CD100" s="4" t="e">
        <f t="shared" si="146"/>
        <v>#N/A</v>
      </c>
      <c r="CG100" s="4">
        <v>92</v>
      </c>
      <c r="CH100" s="4" t="e">
        <f t="shared" si="120"/>
        <v>#N/A</v>
      </c>
      <c r="CI100" s="4" t="e">
        <f t="shared" si="121"/>
        <v>#N/A</v>
      </c>
      <c r="CJ100" s="4" t="e">
        <f t="shared" si="122"/>
        <v>#N/A</v>
      </c>
      <c r="CL100">
        <f t="shared" si="153"/>
        <v>0</v>
      </c>
      <c r="CM100">
        <f t="shared" si="154"/>
        <v>0</v>
      </c>
    </row>
    <row r="101" spans="2:91" ht="15.75" thickBot="1" x14ac:dyDescent="0.3">
      <c r="B101">
        <f t="shared" si="98"/>
        <v>0</v>
      </c>
      <c r="C101" s="16">
        <v>93</v>
      </c>
      <c r="D101" s="15" t="str">
        <f>IF('Front sheet'!L18="","",'Front sheet'!$L18)</f>
        <v/>
      </c>
      <c r="E101" s="149" t="e">
        <f>IF('Front sheet'!N18="",NA(),'Front sheet'!N18)</f>
        <v>#N/A</v>
      </c>
      <c r="F101" s="196" t="e">
        <f>IF('Front sheet'!N18="",NA(),'Front sheet'!M18/'Front sheet'!N18)</f>
        <v>#N/A</v>
      </c>
      <c r="G101" s="205">
        <f t="shared" ca="1" si="99"/>
        <v>0.87525423728813556</v>
      </c>
      <c r="H101" s="201" t="e">
        <f t="shared" ca="1" si="123"/>
        <v>#N/A</v>
      </c>
      <c r="I101" s="157" t="e">
        <f t="shared" ca="1" si="124"/>
        <v>#N/A</v>
      </c>
      <c r="J101" s="151" t="e">
        <f>IF('Front sheet'!N18="",NA(),'Front sheet'!M18)</f>
        <v>#N/A</v>
      </c>
      <c r="K101" s="10" t="str">
        <f t="shared" si="100"/>
        <v/>
      </c>
      <c r="L101" s="9" t="e">
        <f t="shared" ca="1" si="101"/>
        <v>#N/A</v>
      </c>
      <c r="M101" s="8" t="e">
        <f t="shared" ca="1" si="102"/>
        <v>#N/A</v>
      </c>
      <c r="N101" t="e">
        <f t="shared" ca="1" si="103"/>
        <v>#N/A</v>
      </c>
      <c r="O101" s="8" t="e">
        <f t="shared" ca="1" si="147"/>
        <v>#N/A</v>
      </c>
      <c r="P101" t="e">
        <f t="shared" ca="1" si="104"/>
        <v>#N/A</v>
      </c>
      <c r="Q101" s="8">
        <f>IF(ISERROR($F101),0,IF($F101&gt;$H101,MAX($Q$8:Q100)+1,0))</f>
        <v>0</v>
      </c>
      <c r="R101" s="8">
        <f>IF(ISERROR($F101),0,IF($F101&lt;$I101,MAX($R$8:R100)+1,0))</f>
        <v>0</v>
      </c>
      <c r="T101" s="8">
        <f t="shared" si="105"/>
        <v>0</v>
      </c>
      <c r="U101" s="8">
        <f t="shared" ca="1" si="125"/>
        <v>0</v>
      </c>
      <c r="W101" s="8">
        <f t="shared" si="106"/>
        <v>0</v>
      </c>
      <c r="X101" s="8">
        <f t="shared" ca="1" si="126"/>
        <v>0</v>
      </c>
      <c r="Z101" s="8">
        <f t="shared" si="107"/>
        <v>0</v>
      </c>
      <c r="AA101" s="8">
        <f t="shared" si="127"/>
        <v>0</v>
      </c>
      <c r="AC101" s="8">
        <f t="shared" si="108"/>
        <v>0</v>
      </c>
      <c r="AD101" s="8">
        <f t="shared" si="128"/>
        <v>0</v>
      </c>
      <c r="AF101" s="8">
        <f t="shared" si="129"/>
        <v>0</v>
      </c>
      <c r="AG101" s="8">
        <f t="shared" si="130"/>
        <v>0</v>
      </c>
      <c r="AH101" s="8">
        <f t="shared" si="131"/>
        <v>0</v>
      </c>
      <c r="AI101" s="8">
        <f t="shared" si="132"/>
        <v>0</v>
      </c>
      <c r="AK101" s="11" t="e">
        <f t="shared" si="109"/>
        <v>#N/A</v>
      </c>
      <c r="AL101" s="8"/>
      <c r="AN101" s="8"/>
      <c r="AO101" s="8"/>
      <c r="AP101" s="8" t="e">
        <f>IF(C101&lt;=$E$3,IF(OR('Front sheet'!$Q$3="",'Front sheet'!$Q$3=0),NA(),'Front sheet'!$Q$3),NA())</f>
        <v>#N/A</v>
      </c>
      <c r="AQ101" s="8" t="e">
        <f t="shared" ca="1" si="133"/>
        <v>#N/A</v>
      </c>
      <c r="AR101" s="8" t="e">
        <f t="shared" ca="1" si="134"/>
        <v>#N/A</v>
      </c>
      <c r="AS101" s="8" t="e">
        <f t="shared" ca="1" si="135"/>
        <v>#N/A</v>
      </c>
      <c r="AT101" s="8" t="e">
        <f t="shared" ca="1" si="136"/>
        <v>#N/A</v>
      </c>
      <c r="AU101" s="8" t="e">
        <f t="shared" si="110"/>
        <v>#N/A</v>
      </c>
      <c r="AV101" s="8" t="e">
        <f t="shared" ca="1" si="137"/>
        <v>#N/A</v>
      </c>
      <c r="AX101" s="7" t="str">
        <f t="shared" si="111"/>
        <v/>
      </c>
      <c r="AY101" s="2" t="str">
        <f t="shared" si="112"/>
        <v/>
      </c>
      <c r="BA101" s="2">
        <v>93</v>
      </c>
      <c r="BB101">
        <f t="shared" ca="1" si="113"/>
        <v>3</v>
      </c>
      <c r="BC101" s="14" t="str">
        <f t="shared" si="114"/>
        <v/>
      </c>
      <c r="BD101" s="5" t="e">
        <f t="shared" si="148"/>
        <v>#N/A</v>
      </c>
      <c r="BE101" s="5" t="e">
        <f t="shared" si="149"/>
        <v>#N/A</v>
      </c>
      <c r="BF101" s="5" t="e">
        <f t="shared" si="150"/>
        <v>#N/A</v>
      </c>
      <c r="BG101" s="5" t="e">
        <f t="shared" si="151"/>
        <v>#N/A</v>
      </c>
      <c r="BH101" s="5" t="e">
        <f t="shared" si="152"/>
        <v>#N/A</v>
      </c>
      <c r="BI101">
        <f t="shared" ca="1" si="115"/>
        <v>1</v>
      </c>
      <c r="BJ101" s="158" t="e">
        <f t="shared" si="116"/>
        <v>#N/A</v>
      </c>
      <c r="BK101" s="158" t="e">
        <f t="shared" si="117"/>
        <v>#N/A</v>
      </c>
      <c r="BL101" s="158" t="e">
        <f t="shared" si="118"/>
        <v>#N/A</v>
      </c>
      <c r="BM101" s="158" t="e">
        <f t="shared" si="119"/>
        <v>#N/A</v>
      </c>
      <c r="BN101" s="19"/>
      <c r="BQ101" s="4">
        <v>93</v>
      </c>
      <c r="BR101" s="4" t="e">
        <f t="shared" si="138"/>
        <v>#N/A</v>
      </c>
      <c r="BS101" s="4" t="e">
        <f t="shared" si="139"/>
        <v>#N/A</v>
      </c>
      <c r="BT101" s="4" t="e">
        <f t="shared" si="140"/>
        <v>#N/A</v>
      </c>
      <c r="BV101" s="4">
        <v>93</v>
      </c>
      <c r="BW101" s="4" t="e">
        <f t="shared" si="141"/>
        <v>#N/A</v>
      </c>
      <c r="BX101" s="4" t="e">
        <f t="shared" si="142"/>
        <v>#N/A</v>
      </c>
      <c r="BZ101" s="4">
        <v>93</v>
      </c>
      <c r="CA101" s="4" t="e">
        <f t="shared" si="143"/>
        <v>#N/A</v>
      </c>
      <c r="CB101" s="4" t="e">
        <f t="shared" si="144"/>
        <v>#N/A</v>
      </c>
      <c r="CC101" s="4" t="e">
        <f t="shared" si="145"/>
        <v>#N/A</v>
      </c>
      <c r="CD101" s="4" t="e">
        <f t="shared" si="146"/>
        <v>#N/A</v>
      </c>
      <c r="CG101" s="4">
        <v>93</v>
      </c>
      <c r="CH101" s="4" t="e">
        <f t="shared" si="120"/>
        <v>#N/A</v>
      </c>
      <c r="CI101" s="4" t="e">
        <f t="shared" si="121"/>
        <v>#N/A</v>
      </c>
      <c r="CJ101" s="4" t="e">
        <f t="shared" si="122"/>
        <v>#N/A</v>
      </c>
      <c r="CL101">
        <f t="shared" si="153"/>
        <v>0</v>
      </c>
      <c r="CM101">
        <f t="shared" si="154"/>
        <v>0</v>
      </c>
    </row>
    <row r="102" spans="2:91" ht="15.75" thickBot="1" x14ac:dyDescent="0.3">
      <c r="B102">
        <f t="shared" ref="B102:B120" si="155">IF(ISERROR(F102),0,C102)</f>
        <v>0</v>
      </c>
      <c r="C102" s="16">
        <v>94</v>
      </c>
      <c r="D102" s="15" t="str">
        <f>IF('Front sheet'!L19="","",'Front sheet'!$L19)</f>
        <v/>
      </c>
      <c r="E102" s="149" t="e">
        <f>IF('Front sheet'!N19="",NA(),'Front sheet'!N19)</f>
        <v>#N/A</v>
      </c>
      <c r="F102" s="196" t="e">
        <f>IF('Front sheet'!N19="",NA(),'Front sheet'!M19/'Front sheet'!N19)</f>
        <v>#N/A</v>
      </c>
      <c r="G102" s="205">
        <f t="shared" ca="1" si="99"/>
        <v>0.87525423728813556</v>
      </c>
      <c r="H102" s="201" t="e">
        <f t="shared" ca="1" si="123"/>
        <v>#N/A</v>
      </c>
      <c r="I102" s="157" t="e">
        <f t="shared" ca="1" si="124"/>
        <v>#N/A</v>
      </c>
      <c r="J102" s="151" t="e">
        <f>IF('Front sheet'!N19="",NA(),'Front sheet'!M19)</f>
        <v>#N/A</v>
      </c>
      <c r="K102" s="10" t="str">
        <f t="shared" si="100"/>
        <v/>
      </c>
      <c r="L102" s="9" t="e">
        <f t="shared" ca="1" si="101"/>
        <v>#N/A</v>
      </c>
      <c r="M102" s="8" t="e">
        <f t="shared" ca="1" si="102"/>
        <v>#N/A</v>
      </c>
      <c r="N102" t="e">
        <f t="shared" ca="1" si="103"/>
        <v>#N/A</v>
      </c>
      <c r="O102" s="8" t="e">
        <f t="shared" ca="1" si="147"/>
        <v>#N/A</v>
      </c>
      <c r="P102" t="e">
        <f t="shared" ca="1" si="104"/>
        <v>#N/A</v>
      </c>
      <c r="Q102" s="8">
        <f>IF(ISERROR($F102),0,IF($F102&gt;$H102,MAX($Q$8:Q101)+1,0))</f>
        <v>0</v>
      </c>
      <c r="R102" s="8">
        <f>IF(ISERROR($F102),0,IF($F102&lt;$I102,MAX($R$8:R101)+1,0))</f>
        <v>0</v>
      </c>
      <c r="T102" s="8">
        <f t="shared" si="105"/>
        <v>0</v>
      </c>
      <c r="U102" s="8">
        <f t="shared" ca="1" si="125"/>
        <v>0</v>
      </c>
      <c r="W102" s="8">
        <f t="shared" si="106"/>
        <v>0</v>
      </c>
      <c r="X102" s="8">
        <f t="shared" ca="1" si="126"/>
        <v>0</v>
      </c>
      <c r="Z102" s="8">
        <f t="shared" si="107"/>
        <v>0</v>
      </c>
      <c r="AA102" s="8">
        <f t="shared" si="127"/>
        <v>0</v>
      </c>
      <c r="AC102" s="8">
        <f t="shared" si="108"/>
        <v>0</v>
      </c>
      <c r="AD102" s="8">
        <f t="shared" si="128"/>
        <v>0</v>
      </c>
      <c r="AF102" s="8">
        <f t="shared" si="129"/>
        <v>0</v>
      </c>
      <c r="AG102" s="8">
        <f t="shared" si="130"/>
        <v>0</v>
      </c>
      <c r="AH102" s="8">
        <f t="shared" si="131"/>
        <v>0</v>
      </c>
      <c r="AI102" s="8">
        <f t="shared" si="132"/>
        <v>0</v>
      </c>
      <c r="AK102" s="11" t="e">
        <f t="shared" si="109"/>
        <v>#N/A</v>
      </c>
      <c r="AL102" s="8"/>
      <c r="AN102" s="8"/>
      <c r="AO102" s="8"/>
      <c r="AP102" s="8" t="e">
        <f>IF(C102&lt;=$E$3,IF(OR('Front sheet'!$Q$3="",'Front sheet'!$Q$3=0),NA(),'Front sheet'!$Q$3),NA())</f>
        <v>#N/A</v>
      </c>
      <c r="AQ102" s="8" t="e">
        <f t="shared" ca="1" si="133"/>
        <v>#N/A</v>
      </c>
      <c r="AR102" s="8" t="e">
        <f t="shared" ca="1" si="134"/>
        <v>#N/A</v>
      </c>
      <c r="AS102" s="8" t="e">
        <f t="shared" ca="1" si="135"/>
        <v>#N/A</v>
      </c>
      <c r="AT102" s="8" t="e">
        <f t="shared" ca="1" si="136"/>
        <v>#N/A</v>
      </c>
      <c r="AU102" s="8" t="e">
        <f t="shared" si="110"/>
        <v>#N/A</v>
      </c>
      <c r="AV102" s="8" t="e">
        <f t="shared" ca="1" si="137"/>
        <v>#N/A</v>
      </c>
      <c r="AX102" s="7" t="str">
        <f t="shared" si="111"/>
        <v/>
      </c>
      <c r="AY102" s="2" t="str">
        <f t="shared" si="112"/>
        <v/>
      </c>
      <c r="BA102" s="2">
        <v>94</v>
      </c>
      <c r="BB102">
        <f t="shared" ca="1" si="113"/>
        <v>3</v>
      </c>
      <c r="BC102" s="14" t="str">
        <f t="shared" si="114"/>
        <v/>
      </c>
      <c r="BD102" s="5" t="e">
        <f t="shared" si="148"/>
        <v>#N/A</v>
      </c>
      <c r="BE102" s="5" t="e">
        <f t="shared" si="149"/>
        <v>#N/A</v>
      </c>
      <c r="BF102" s="5" t="e">
        <f t="shared" si="150"/>
        <v>#N/A</v>
      </c>
      <c r="BG102" s="5" t="e">
        <f t="shared" si="151"/>
        <v>#N/A</v>
      </c>
      <c r="BH102" s="5" t="e">
        <f t="shared" si="152"/>
        <v>#N/A</v>
      </c>
      <c r="BI102">
        <f t="shared" ca="1" si="115"/>
        <v>1</v>
      </c>
      <c r="BJ102" s="158" t="e">
        <f t="shared" si="116"/>
        <v>#N/A</v>
      </c>
      <c r="BK102" s="158" t="e">
        <f t="shared" si="117"/>
        <v>#N/A</v>
      </c>
      <c r="BL102" s="158" t="e">
        <f t="shared" si="118"/>
        <v>#N/A</v>
      </c>
      <c r="BM102" s="158" t="e">
        <f t="shared" si="119"/>
        <v>#N/A</v>
      </c>
      <c r="BN102" s="19"/>
      <c r="BQ102" s="4">
        <v>94</v>
      </c>
      <c r="BR102" s="4" t="e">
        <f t="shared" si="138"/>
        <v>#N/A</v>
      </c>
      <c r="BS102" s="4" t="e">
        <f t="shared" si="139"/>
        <v>#N/A</v>
      </c>
      <c r="BT102" s="4" t="e">
        <f t="shared" si="140"/>
        <v>#N/A</v>
      </c>
      <c r="BV102" s="4">
        <v>94</v>
      </c>
      <c r="BW102" s="4" t="e">
        <f t="shared" si="141"/>
        <v>#N/A</v>
      </c>
      <c r="BX102" s="4" t="e">
        <f t="shared" si="142"/>
        <v>#N/A</v>
      </c>
      <c r="BZ102" s="4">
        <v>94</v>
      </c>
      <c r="CA102" s="4" t="e">
        <f t="shared" si="143"/>
        <v>#N/A</v>
      </c>
      <c r="CB102" s="4" t="e">
        <f t="shared" si="144"/>
        <v>#N/A</v>
      </c>
      <c r="CC102" s="4" t="e">
        <f t="shared" si="145"/>
        <v>#N/A</v>
      </c>
      <c r="CD102" s="4" t="e">
        <f t="shared" si="146"/>
        <v>#N/A</v>
      </c>
      <c r="CG102" s="4">
        <v>94</v>
      </c>
      <c r="CH102" s="4" t="e">
        <f t="shared" si="120"/>
        <v>#N/A</v>
      </c>
      <c r="CI102" s="4" t="e">
        <f t="shared" si="121"/>
        <v>#N/A</v>
      </c>
      <c r="CJ102" s="4" t="e">
        <f t="shared" si="122"/>
        <v>#N/A</v>
      </c>
      <c r="CL102">
        <f t="shared" si="153"/>
        <v>0</v>
      </c>
      <c r="CM102">
        <f t="shared" si="154"/>
        <v>0</v>
      </c>
    </row>
    <row r="103" spans="2:91" ht="15.75" thickBot="1" x14ac:dyDescent="0.3">
      <c r="B103">
        <f t="shared" si="155"/>
        <v>0</v>
      </c>
      <c r="C103" s="16">
        <v>95</v>
      </c>
      <c r="D103" s="15" t="str">
        <f>IF('Front sheet'!L20="","",'Front sheet'!$L20)</f>
        <v/>
      </c>
      <c r="E103" s="149" t="e">
        <f>IF('Front sheet'!N20="",NA(),'Front sheet'!N20)</f>
        <v>#N/A</v>
      </c>
      <c r="F103" s="196" t="e">
        <f>IF('Front sheet'!N20="",NA(),'Front sheet'!M20/'Front sheet'!N20)</f>
        <v>#N/A</v>
      </c>
      <c r="G103" s="205">
        <f t="shared" ca="1" si="99"/>
        <v>0.87525423728813556</v>
      </c>
      <c r="H103" s="201" t="e">
        <f t="shared" ca="1" si="123"/>
        <v>#N/A</v>
      </c>
      <c r="I103" s="157" t="e">
        <f t="shared" ca="1" si="124"/>
        <v>#N/A</v>
      </c>
      <c r="J103" s="151" t="e">
        <f>IF('Front sheet'!N20="",NA(),'Front sheet'!M20)</f>
        <v>#N/A</v>
      </c>
      <c r="K103" s="10" t="str">
        <f t="shared" si="100"/>
        <v/>
      </c>
      <c r="L103" s="9" t="e">
        <f t="shared" ca="1" si="101"/>
        <v>#N/A</v>
      </c>
      <c r="M103" s="8" t="e">
        <f t="shared" ca="1" si="102"/>
        <v>#N/A</v>
      </c>
      <c r="N103" t="e">
        <f t="shared" ca="1" si="103"/>
        <v>#N/A</v>
      </c>
      <c r="O103" s="8" t="e">
        <f t="shared" ca="1" si="147"/>
        <v>#N/A</v>
      </c>
      <c r="P103" t="e">
        <f t="shared" ca="1" si="104"/>
        <v>#N/A</v>
      </c>
      <c r="Q103" s="8">
        <f>IF(ISERROR($F103),0,IF($F103&gt;$H103,MAX($Q$8:Q102)+1,0))</f>
        <v>0</v>
      </c>
      <c r="R103" s="8">
        <f>IF(ISERROR($F103),0,IF($F103&lt;$I103,MAX($R$8:R102)+1,0))</f>
        <v>0</v>
      </c>
      <c r="T103" s="8">
        <f t="shared" si="105"/>
        <v>0</v>
      </c>
      <c r="U103" s="8">
        <f t="shared" ca="1" si="125"/>
        <v>0</v>
      </c>
      <c r="W103" s="8">
        <f t="shared" si="106"/>
        <v>0</v>
      </c>
      <c r="X103" s="8">
        <f t="shared" ca="1" si="126"/>
        <v>0</v>
      </c>
      <c r="Z103" s="8">
        <f t="shared" si="107"/>
        <v>0</v>
      </c>
      <c r="AA103" s="8">
        <f t="shared" si="127"/>
        <v>0</v>
      </c>
      <c r="AC103" s="8">
        <f t="shared" si="108"/>
        <v>0</v>
      </c>
      <c r="AD103" s="8">
        <f t="shared" si="128"/>
        <v>0</v>
      </c>
      <c r="AF103" s="8">
        <f t="shared" si="129"/>
        <v>0</v>
      </c>
      <c r="AG103" s="8">
        <f t="shared" si="130"/>
        <v>0</v>
      </c>
      <c r="AH103" s="8">
        <f t="shared" si="131"/>
        <v>0</v>
      </c>
      <c r="AI103" s="8">
        <f t="shared" si="132"/>
        <v>0</v>
      </c>
      <c r="AK103" s="11" t="e">
        <f t="shared" si="109"/>
        <v>#N/A</v>
      </c>
      <c r="AL103" s="8"/>
      <c r="AN103" s="8"/>
      <c r="AO103" s="8"/>
      <c r="AP103" s="8" t="e">
        <f>IF(C103&lt;=$E$3,IF(OR('Front sheet'!$Q$3="",'Front sheet'!$Q$3=0),NA(),'Front sheet'!$Q$3),NA())</f>
        <v>#N/A</v>
      </c>
      <c r="AQ103" s="8" t="e">
        <f t="shared" ca="1" si="133"/>
        <v>#N/A</v>
      </c>
      <c r="AR103" s="8" t="e">
        <f t="shared" ca="1" si="134"/>
        <v>#N/A</v>
      </c>
      <c r="AS103" s="8" t="e">
        <f t="shared" ca="1" si="135"/>
        <v>#N/A</v>
      </c>
      <c r="AT103" s="8" t="e">
        <f t="shared" ca="1" si="136"/>
        <v>#N/A</v>
      </c>
      <c r="AU103" s="8" t="e">
        <f t="shared" si="110"/>
        <v>#N/A</v>
      </c>
      <c r="AV103" s="8" t="e">
        <f t="shared" ca="1" si="137"/>
        <v>#N/A</v>
      </c>
      <c r="AX103" s="7" t="str">
        <f t="shared" si="111"/>
        <v/>
      </c>
      <c r="AY103" s="2" t="str">
        <f t="shared" si="112"/>
        <v/>
      </c>
      <c r="BA103" s="2">
        <v>95</v>
      </c>
      <c r="BB103">
        <f t="shared" ca="1" si="113"/>
        <v>3</v>
      </c>
      <c r="BC103" s="14" t="str">
        <f t="shared" si="114"/>
        <v/>
      </c>
      <c r="BD103" s="5" t="e">
        <f t="shared" si="148"/>
        <v>#N/A</v>
      </c>
      <c r="BE103" s="5" t="e">
        <f t="shared" si="149"/>
        <v>#N/A</v>
      </c>
      <c r="BF103" s="5" t="e">
        <f t="shared" si="150"/>
        <v>#N/A</v>
      </c>
      <c r="BG103" s="5" t="e">
        <f t="shared" si="151"/>
        <v>#N/A</v>
      </c>
      <c r="BH103" s="5" t="e">
        <f t="shared" si="152"/>
        <v>#N/A</v>
      </c>
      <c r="BI103">
        <f t="shared" ca="1" si="115"/>
        <v>1</v>
      </c>
      <c r="BJ103" s="158" t="e">
        <f t="shared" si="116"/>
        <v>#N/A</v>
      </c>
      <c r="BK103" s="158" t="e">
        <f t="shared" si="117"/>
        <v>#N/A</v>
      </c>
      <c r="BL103" s="158" t="e">
        <f t="shared" si="118"/>
        <v>#N/A</v>
      </c>
      <c r="BM103" s="158" t="e">
        <f t="shared" si="119"/>
        <v>#N/A</v>
      </c>
      <c r="BN103" s="19"/>
      <c r="BQ103" s="4">
        <v>95</v>
      </c>
      <c r="BR103" s="4" t="e">
        <f t="shared" si="138"/>
        <v>#N/A</v>
      </c>
      <c r="BS103" s="4" t="e">
        <f t="shared" si="139"/>
        <v>#N/A</v>
      </c>
      <c r="BT103" s="4" t="e">
        <f t="shared" si="140"/>
        <v>#N/A</v>
      </c>
      <c r="BV103" s="4">
        <v>95</v>
      </c>
      <c r="BW103" s="4" t="e">
        <f t="shared" si="141"/>
        <v>#N/A</v>
      </c>
      <c r="BX103" s="4" t="e">
        <f t="shared" si="142"/>
        <v>#N/A</v>
      </c>
      <c r="BZ103" s="4">
        <v>95</v>
      </c>
      <c r="CA103" s="4" t="e">
        <f t="shared" si="143"/>
        <v>#N/A</v>
      </c>
      <c r="CB103" s="4" t="e">
        <f t="shared" si="144"/>
        <v>#N/A</v>
      </c>
      <c r="CC103" s="4" t="e">
        <f t="shared" si="145"/>
        <v>#N/A</v>
      </c>
      <c r="CD103" s="4" t="e">
        <f t="shared" si="146"/>
        <v>#N/A</v>
      </c>
      <c r="CG103" s="4">
        <v>95</v>
      </c>
      <c r="CH103" s="4" t="e">
        <f t="shared" si="120"/>
        <v>#N/A</v>
      </c>
      <c r="CI103" s="4" t="e">
        <f t="shared" si="121"/>
        <v>#N/A</v>
      </c>
      <c r="CJ103" s="4" t="e">
        <f t="shared" si="122"/>
        <v>#N/A</v>
      </c>
      <c r="CL103">
        <f t="shared" si="153"/>
        <v>0</v>
      </c>
      <c r="CM103">
        <f t="shared" si="154"/>
        <v>0</v>
      </c>
    </row>
    <row r="104" spans="2:91" ht="15.75" thickBot="1" x14ac:dyDescent="0.3">
      <c r="B104">
        <f t="shared" si="155"/>
        <v>0</v>
      </c>
      <c r="C104" s="16">
        <v>96</v>
      </c>
      <c r="D104" s="15" t="str">
        <f>IF('Front sheet'!L21="","",'Front sheet'!$L21)</f>
        <v/>
      </c>
      <c r="E104" s="149" t="e">
        <f>IF('Front sheet'!N21="",NA(),'Front sheet'!N21)</f>
        <v>#N/A</v>
      </c>
      <c r="F104" s="196" t="e">
        <f>IF('Front sheet'!N21="",NA(),'Front sheet'!M21/'Front sheet'!N21)</f>
        <v>#N/A</v>
      </c>
      <c r="G104" s="205">
        <f t="shared" ca="1" si="99"/>
        <v>0.87525423728813556</v>
      </c>
      <c r="H104" s="201" t="e">
        <f t="shared" ca="1" si="123"/>
        <v>#N/A</v>
      </c>
      <c r="I104" s="157" t="e">
        <f t="shared" ca="1" si="124"/>
        <v>#N/A</v>
      </c>
      <c r="J104" s="151" t="e">
        <f>IF('Front sheet'!N21="",NA(),'Front sheet'!M21)</f>
        <v>#N/A</v>
      </c>
      <c r="K104" s="10" t="str">
        <f t="shared" si="100"/>
        <v/>
      </c>
      <c r="L104" s="9" t="e">
        <f t="shared" ca="1" si="101"/>
        <v>#N/A</v>
      </c>
      <c r="M104" s="8" t="e">
        <f t="shared" ca="1" si="102"/>
        <v>#N/A</v>
      </c>
      <c r="N104" t="e">
        <f t="shared" ca="1" si="103"/>
        <v>#N/A</v>
      </c>
      <c r="O104" s="8" t="e">
        <f t="shared" ca="1" si="147"/>
        <v>#N/A</v>
      </c>
      <c r="P104" t="e">
        <f t="shared" ca="1" si="104"/>
        <v>#N/A</v>
      </c>
      <c r="Q104" s="8">
        <f>IF(ISERROR($F104),0,IF($F104&gt;$H104,MAX($Q$8:Q103)+1,0))</f>
        <v>0</v>
      </c>
      <c r="R104" s="8">
        <f>IF(ISERROR($F104),0,IF($F104&lt;$I104,MAX($R$8:R103)+1,0))</f>
        <v>0</v>
      </c>
      <c r="T104" s="8">
        <f t="shared" si="105"/>
        <v>0</v>
      </c>
      <c r="U104" s="8">
        <f t="shared" ca="1" si="125"/>
        <v>0</v>
      </c>
      <c r="W104" s="8">
        <f t="shared" si="106"/>
        <v>0</v>
      </c>
      <c r="X104" s="8">
        <f t="shared" ca="1" si="126"/>
        <v>0</v>
      </c>
      <c r="Z104" s="8">
        <f t="shared" si="107"/>
        <v>0</v>
      </c>
      <c r="AA104" s="8">
        <f t="shared" si="127"/>
        <v>0</v>
      </c>
      <c r="AC104" s="8">
        <f t="shared" si="108"/>
        <v>0</v>
      </c>
      <c r="AD104" s="8">
        <f t="shared" si="128"/>
        <v>0</v>
      </c>
      <c r="AF104" s="8">
        <f t="shared" si="129"/>
        <v>0</v>
      </c>
      <c r="AG104" s="8">
        <f t="shared" si="130"/>
        <v>0</v>
      </c>
      <c r="AH104" s="8">
        <f t="shared" si="131"/>
        <v>0</v>
      </c>
      <c r="AI104" s="8">
        <f t="shared" si="132"/>
        <v>0</v>
      </c>
      <c r="AK104" s="11" t="e">
        <f t="shared" si="109"/>
        <v>#N/A</v>
      </c>
      <c r="AL104" s="8"/>
      <c r="AN104" s="8"/>
      <c r="AO104" s="8"/>
      <c r="AP104" s="8" t="e">
        <f>IF(C104&lt;=$E$3,IF(OR('Front sheet'!$Q$3="",'Front sheet'!$Q$3=0),NA(),'Front sheet'!$Q$3),NA())</f>
        <v>#N/A</v>
      </c>
      <c r="AQ104" s="8" t="e">
        <f t="shared" ca="1" si="133"/>
        <v>#N/A</v>
      </c>
      <c r="AR104" s="8" t="e">
        <f t="shared" ca="1" si="134"/>
        <v>#N/A</v>
      </c>
      <c r="AS104" s="8" t="e">
        <f t="shared" ca="1" si="135"/>
        <v>#N/A</v>
      </c>
      <c r="AT104" s="8" t="e">
        <f t="shared" ca="1" si="136"/>
        <v>#N/A</v>
      </c>
      <c r="AU104" s="8" t="e">
        <f t="shared" si="110"/>
        <v>#N/A</v>
      </c>
      <c r="AV104" s="8" t="e">
        <f t="shared" ca="1" si="137"/>
        <v>#N/A</v>
      </c>
      <c r="AX104" s="7" t="str">
        <f t="shared" si="111"/>
        <v/>
      </c>
      <c r="AY104" s="2" t="str">
        <f t="shared" si="112"/>
        <v/>
      </c>
      <c r="BA104" s="2">
        <v>96</v>
      </c>
      <c r="BB104">
        <f t="shared" ca="1" si="113"/>
        <v>3</v>
      </c>
      <c r="BC104" s="14" t="str">
        <f t="shared" si="114"/>
        <v/>
      </c>
      <c r="BD104" s="5" t="e">
        <f t="shared" si="148"/>
        <v>#N/A</v>
      </c>
      <c r="BE104" s="5" t="e">
        <f t="shared" si="149"/>
        <v>#N/A</v>
      </c>
      <c r="BF104" s="5" t="e">
        <f t="shared" si="150"/>
        <v>#N/A</v>
      </c>
      <c r="BG104" s="5" t="e">
        <f t="shared" si="151"/>
        <v>#N/A</v>
      </c>
      <c r="BH104" s="5" t="e">
        <f t="shared" si="152"/>
        <v>#N/A</v>
      </c>
      <c r="BI104">
        <f t="shared" ca="1" si="115"/>
        <v>1</v>
      </c>
      <c r="BJ104" s="158" t="e">
        <f t="shared" si="116"/>
        <v>#N/A</v>
      </c>
      <c r="BK104" s="158" t="e">
        <f t="shared" si="117"/>
        <v>#N/A</v>
      </c>
      <c r="BL104" s="158" t="e">
        <f t="shared" si="118"/>
        <v>#N/A</v>
      </c>
      <c r="BM104" s="158" t="e">
        <f t="shared" si="119"/>
        <v>#N/A</v>
      </c>
      <c r="BN104" s="19"/>
      <c r="BQ104" s="4">
        <v>96</v>
      </c>
      <c r="BR104" s="4" t="e">
        <f t="shared" si="138"/>
        <v>#N/A</v>
      </c>
      <c r="BS104" s="4" t="e">
        <f t="shared" si="139"/>
        <v>#N/A</v>
      </c>
      <c r="BT104" s="4" t="e">
        <f t="shared" si="140"/>
        <v>#N/A</v>
      </c>
      <c r="BV104" s="4">
        <v>96</v>
      </c>
      <c r="BW104" s="4" t="e">
        <f t="shared" si="141"/>
        <v>#N/A</v>
      </c>
      <c r="BX104" s="4" t="e">
        <f t="shared" si="142"/>
        <v>#N/A</v>
      </c>
      <c r="BZ104" s="4">
        <v>96</v>
      </c>
      <c r="CA104" s="4" t="e">
        <f t="shared" si="143"/>
        <v>#N/A</v>
      </c>
      <c r="CB104" s="4" t="e">
        <f t="shared" si="144"/>
        <v>#N/A</v>
      </c>
      <c r="CC104" s="4" t="e">
        <f t="shared" si="145"/>
        <v>#N/A</v>
      </c>
      <c r="CD104" s="4" t="e">
        <f t="shared" si="146"/>
        <v>#N/A</v>
      </c>
      <c r="CG104" s="4">
        <v>96</v>
      </c>
      <c r="CH104" s="4" t="e">
        <f t="shared" si="120"/>
        <v>#N/A</v>
      </c>
      <c r="CI104" s="4" t="e">
        <f t="shared" si="121"/>
        <v>#N/A</v>
      </c>
      <c r="CJ104" s="4" t="e">
        <f t="shared" si="122"/>
        <v>#N/A</v>
      </c>
      <c r="CL104">
        <f t="shared" si="153"/>
        <v>0</v>
      </c>
      <c r="CM104">
        <f t="shared" si="154"/>
        <v>0</v>
      </c>
    </row>
    <row r="105" spans="2:91" ht="15.75" thickBot="1" x14ac:dyDescent="0.3">
      <c r="B105">
        <f t="shared" si="155"/>
        <v>0</v>
      </c>
      <c r="C105" s="16">
        <v>97</v>
      </c>
      <c r="D105" s="15" t="str">
        <f>IF('Front sheet'!L22="","",'Front sheet'!$L22)</f>
        <v/>
      </c>
      <c r="E105" s="149" t="e">
        <f>IF('Front sheet'!N22="",NA(),'Front sheet'!N22)</f>
        <v>#N/A</v>
      </c>
      <c r="F105" s="196" t="e">
        <f>IF('Front sheet'!N22="",NA(),'Front sheet'!M22/'Front sheet'!N22)</f>
        <v>#N/A</v>
      </c>
      <c r="G105" s="205">
        <f t="shared" ref="G105:G120" ca="1" si="156">IF($E$4=0,SUM(Tally0)/SUM(Denom0),IF($B105&lt;=$F$3,SUM(Tally)/SUM(Denom),IF(B105&lt;=$F$4+$F$3,SUM(Tally2)/SUM(Denom2),IF(B105&lt;=$F$3+$F$4+$F$5,SUM(Tally3)/SUM(Denom3),IF(B105&lt;=$F$3+$F$4+$F$5+$F$6,SUM(Tally4)/SUM(Denom4),IF(B105&lt;=$F$3+$F$4+$F$5+$F$6+$F$7,SUM(Tally5)/SUM(Denom5),NA()))))))</f>
        <v>0.87525423728813556</v>
      </c>
      <c r="H105" s="201" t="e">
        <f t="shared" ca="1" si="123"/>
        <v>#N/A</v>
      </c>
      <c r="I105" s="157" t="e">
        <f t="shared" ca="1" si="124"/>
        <v>#N/A</v>
      </c>
      <c r="J105" s="151" t="e">
        <f>IF('Front sheet'!N22="",NA(),'Front sheet'!M22)</f>
        <v>#N/A</v>
      </c>
      <c r="K105" s="10" t="str">
        <f t="shared" ref="K105:K120" si="157">D105</f>
        <v/>
      </c>
      <c r="L105" s="9" t="e">
        <f t="shared" ref="L105:L120" ca="1" si="158">SQRT((G105*(1-G105)/E105))</f>
        <v>#N/A</v>
      </c>
      <c r="M105" s="8" t="e">
        <f t="shared" ref="M105:M120" ca="1" si="159">L105*3</f>
        <v>#N/A</v>
      </c>
      <c r="N105" t="e">
        <f t="shared" ref="N105:N120" ca="1" si="160">((F105-G105))/L105</f>
        <v>#N/A</v>
      </c>
      <c r="O105" s="8" t="e">
        <f t="shared" ca="1" si="147"/>
        <v>#N/A</v>
      </c>
      <c r="P105" t="e">
        <f t="shared" ref="P105:P120" ca="1" si="161">3*(AVERAGE(OFFSET($O$10,0,0,$E$3-1))/1.128)*L105</f>
        <v>#N/A</v>
      </c>
      <c r="Q105" s="8">
        <f>IF(ISERROR($F105),0,IF($F105&gt;$H105,MAX($Q$8:Q104)+1,0))</f>
        <v>0</v>
      </c>
      <c r="R105" s="8">
        <f>IF(ISERROR($F105),0,IF($F105&lt;$I105,MAX($R$8:R104)+1,0))</f>
        <v>0</v>
      </c>
      <c r="T105" s="8">
        <f t="shared" ref="T105:T120" si="162">IF(ISERROR(F105),0,IF(F105&gt;G105,1,0))</f>
        <v>0</v>
      </c>
      <c r="U105" s="8">
        <f t="shared" ca="1" si="125"/>
        <v>0</v>
      </c>
      <c r="W105" s="8">
        <f t="shared" ref="W105:W120" si="163">IF(ISERROR(F105),0,IF(F105&lt;G105,1,0))</f>
        <v>0</v>
      </c>
      <c r="X105" s="8">
        <f t="shared" ca="1" si="126"/>
        <v>0</v>
      </c>
      <c r="Z105" s="8">
        <f t="shared" ref="Z105:Z120" si="164">IF(OR(ISERROR(F105),ISERROR(F104)),0,IF(F105=F104,0.5,IF(F105&gt;F104,1,0)))</f>
        <v>0</v>
      </c>
      <c r="AA105" s="8">
        <f t="shared" si="127"/>
        <v>0</v>
      </c>
      <c r="AC105" s="8">
        <f t="shared" ref="AC105:AC120" si="165">IF(OR(ISERROR(F105),ISERROR(F104)),0,IF(F105=F104,0.5,IF(F105&lt;F104,1,0)))</f>
        <v>0</v>
      </c>
      <c r="AD105" s="8">
        <f t="shared" si="128"/>
        <v>0</v>
      </c>
      <c r="AF105" s="8">
        <f t="shared" si="129"/>
        <v>0</v>
      </c>
      <c r="AG105" s="8">
        <f t="shared" si="130"/>
        <v>0</v>
      </c>
      <c r="AH105" s="8">
        <f t="shared" si="131"/>
        <v>0</v>
      </c>
      <c r="AI105" s="8">
        <f t="shared" si="132"/>
        <v>0</v>
      </c>
      <c r="AK105" s="11" t="e">
        <f t="shared" si="109"/>
        <v>#N/A</v>
      </c>
      <c r="AL105" s="8"/>
      <c r="AN105" s="8"/>
      <c r="AO105" s="8"/>
      <c r="AP105" s="8" t="e">
        <f>IF(C105&lt;=$E$3,IF(OR('Front sheet'!$Q$3="",'Front sheet'!$Q$3=0),NA(),'Front sheet'!$Q$3),NA())</f>
        <v>#N/A</v>
      </c>
      <c r="AQ105" s="8" t="e">
        <f t="shared" ca="1" si="133"/>
        <v>#N/A</v>
      </c>
      <c r="AR105" s="8" t="e">
        <f t="shared" ca="1" si="134"/>
        <v>#N/A</v>
      </c>
      <c r="AS105" s="8" t="e">
        <f t="shared" ca="1" si="135"/>
        <v>#N/A</v>
      </c>
      <c r="AT105" s="8" t="e">
        <f t="shared" ca="1" si="136"/>
        <v>#N/A</v>
      </c>
      <c r="AU105" s="8" t="e">
        <f t="shared" si="110"/>
        <v>#N/A</v>
      </c>
      <c r="AV105" s="8" t="e">
        <f t="shared" ca="1" si="137"/>
        <v>#N/A</v>
      </c>
      <c r="AX105" s="7" t="str">
        <f t="shared" ref="AX105:AX120" si="166">K105</f>
        <v/>
      </c>
      <c r="AY105" s="2" t="str">
        <f t="shared" ref="AY105:AY120" si="167">IFERROR(WEEKDAY(AX105),"")</f>
        <v/>
      </c>
      <c r="BA105" s="2">
        <v>97</v>
      </c>
      <c r="BB105">
        <f t="shared" ref="BB105:BB120" ca="1" si="168">IF($BB$8="Yes","",IF(BC105=$BD$8,1,IF(BC105=$BE$8,2,IF(BC105=$BF$8,3,IF(BC105=$BG$8,4,IF(BC105=$BH$8,5,""))))))</f>
        <v>3</v>
      </c>
      <c r="BC105" s="14" t="str">
        <f t="shared" ref="BC105:BC120" si="169">D105</f>
        <v/>
      </c>
      <c r="BD105" s="5" t="e">
        <f t="shared" si="148"/>
        <v>#N/A</v>
      </c>
      <c r="BE105" s="5" t="e">
        <f t="shared" si="149"/>
        <v>#N/A</v>
      </c>
      <c r="BF105" s="5" t="e">
        <f t="shared" si="150"/>
        <v>#N/A</v>
      </c>
      <c r="BG105" s="5" t="e">
        <f t="shared" si="151"/>
        <v>#N/A</v>
      </c>
      <c r="BH105" s="5" t="e">
        <f t="shared" si="152"/>
        <v>#N/A</v>
      </c>
      <c r="BI105">
        <f t="shared" ref="BI105:BI120" ca="1" si="170">IF(BC105=$BJ$8,1,IF(BC105=$BK$8,2,IF(BC105=$BL$8,3,IF(BC105=$BM$8,4,""))))</f>
        <v>1</v>
      </c>
      <c r="BJ105" s="158" t="e">
        <f t="shared" ref="BJ105:BJ120" si="171">IF($BD$6=0,#N/A,IF(BI105=BJ$7,$F105-$BC$2,#N/A))</f>
        <v>#N/A</v>
      </c>
      <c r="BK105" s="158" t="e">
        <f t="shared" ref="BK105:BK120" si="172">IF($BE$6=0,#N/A,IF($BI105=BK$7,$F105-$BC$2,#N/A))</f>
        <v>#N/A</v>
      </c>
      <c r="BL105" s="158" t="e">
        <f t="shared" ref="BL105:BL120" si="173">IF($BF$6=0,#N/A,IF($BI105=BL$7,$F105-$BC$2,#N/A))</f>
        <v>#N/A</v>
      </c>
      <c r="BM105" s="158" t="e">
        <f t="shared" ref="BM105:BM120" si="174">IF($BG$6=0,#N/A,IF($BI105=BM$7,$F105-$BC$2,#N/A))</f>
        <v>#N/A</v>
      </c>
      <c r="BN105" s="19"/>
      <c r="BQ105" s="4">
        <v>97</v>
      </c>
      <c r="BR105" s="4" t="e">
        <f t="shared" si="138"/>
        <v>#N/A</v>
      </c>
      <c r="BS105" s="4" t="e">
        <f t="shared" si="139"/>
        <v>#N/A</v>
      </c>
      <c r="BT105" s="4" t="e">
        <f t="shared" si="140"/>
        <v>#N/A</v>
      </c>
      <c r="BV105" s="4">
        <v>97</v>
      </c>
      <c r="BW105" s="4" t="e">
        <f t="shared" si="141"/>
        <v>#N/A</v>
      </c>
      <c r="BX105" s="4" t="e">
        <f t="shared" si="142"/>
        <v>#N/A</v>
      </c>
      <c r="BZ105" s="4">
        <v>97</v>
      </c>
      <c r="CA105" s="4" t="e">
        <f t="shared" si="143"/>
        <v>#N/A</v>
      </c>
      <c r="CB105" s="4" t="e">
        <f t="shared" si="144"/>
        <v>#N/A</v>
      </c>
      <c r="CC105" s="4" t="e">
        <f t="shared" si="145"/>
        <v>#N/A</v>
      </c>
      <c r="CD105" s="4" t="e">
        <f t="shared" si="146"/>
        <v>#N/A</v>
      </c>
      <c r="CG105" s="4">
        <v>97</v>
      </c>
      <c r="CH105" s="4" t="e">
        <f t="shared" ref="CH105:CH120" si="175">IF(CG105&lt;&gt;$E$3-$CH$6,NA(),IF($CG$6&lt;&gt;"Pass",NA(),$BE$2+$BC$2))</f>
        <v>#N/A</v>
      </c>
      <c r="CI105" s="4" t="e">
        <f t="shared" ref="CI105:CI120" si="176">IF(CG105&lt;&gt;$E$3-$CH$6,NA(),IF($CG$6&lt;&gt;"Fail",NA(),$BE$2+$BC$2))</f>
        <v>#N/A</v>
      </c>
      <c r="CJ105" s="4" t="e">
        <f t="shared" ref="CJ105:CJ120" si="177">IF(CG105&lt;&gt;$E$3-$CH$6,NA(),IF($CG$6&lt;&gt;"Flip",NA(),$BE$2+$BC$2))</f>
        <v>#N/A</v>
      </c>
      <c r="CL105">
        <f t="shared" si="153"/>
        <v>0</v>
      </c>
      <c r="CM105">
        <f t="shared" si="154"/>
        <v>0</v>
      </c>
    </row>
    <row r="106" spans="2:91" ht="15.75" thickBot="1" x14ac:dyDescent="0.3">
      <c r="B106">
        <f t="shared" si="155"/>
        <v>0</v>
      </c>
      <c r="C106" s="13">
        <v>98</v>
      </c>
      <c r="D106" s="12" t="str">
        <f>IF('Front sheet'!L23="","",'Front sheet'!$L23)</f>
        <v/>
      </c>
      <c r="E106" s="149" t="e">
        <f>IF('Front sheet'!N23="",NA(),'Front sheet'!N23)</f>
        <v>#N/A</v>
      </c>
      <c r="F106" s="199" t="e">
        <f>IF('Front sheet'!N23="",NA(),'Front sheet'!M23/'Front sheet'!N23)</f>
        <v>#N/A</v>
      </c>
      <c r="G106" s="205">
        <f t="shared" ca="1" si="156"/>
        <v>0.87525423728813556</v>
      </c>
      <c r="H106" s="204" t="e">
        <f t="shared" ca="1" si="123"/>
        <v>#N/A</v>
      </c>
      <c r="I106" s="190" t="e">
        <f t="shared" ca="1" si="124"/>
        <v>#N/A</v>
      </c>
      <c r="J106" s="191" t="e">
        <f>IF('Front sheet'!N23="",NA(),'Front sheet'!M23)</f>
        <v>#N/A</v>
      </c>
      <c r="K106" s="10" t="str">
        <f t="shared" si="157"/>
        <v/>
      </c>
      <c r="L106" s="9" t="e">
        <f t="shared" ca="1" si="158"/>
        <v>#N/A</v>
      </c>
      <c r="M106" s="8" t="e">
        <f t="shared" ca="1" si="159"/>
        <v>#N/A</v>
      </c>
      <c r="N106" t="e">
        <f t="shared" ca="1" si="160"/>
        <v>#N/A</v>
      </c>
      <c r="O106" s="8" t="e">
        <f t="shared" ca="1" si="147"/>
        <v>#N/A</v>
      </c>
      <c r="P106" t="e">
        <f t="shared" ca="1" si="161"/>
        <v>#N/A</v>
      </c>
      <c r="Q106" s="8">
        <f>IF(ISERROR($F106),0,IF($F106&gt;$H106,MAX($Q$8:Q105)+1,0))</f>
        <v>0</v>
      </c>
      <c r="R106" s="8">
        <f>IF(ISERROR($F106),0,IF($F106&lt;$I106,MAX($R$8:R105)+1,0))</f>
        <v>0</v>
      </c>
      <c r="T106" s="8">
        <f t="shared" si="162"/>
        <v>0</v>
      </c>
      <c r="U106" s="8">
        <f t="shared" ca="1" si="125"/>
        <v>0</v>
      </c>
      <c r="W106" s="8">
        <f t="shared" si="163"/>
        <v>0</v>
      </c>
      <c r="X106" s="8">
        <f t="shared" ca="1" si="126"/>
        <v>0</v>
      </c>
      <c r="Z106" s="8">
        <f t="shared" si="164"/>
        <v>0</v>
      </c>
      <c r="AA106" s="8">
        <f t="shared" si="127"/>
        <v>0</v>
      </c>
      <c r="AC106" s="8">
        <f t="shared" si="165"/>
        <v>0</v>
      </c>
      <c r="AD106" s="8">
        <f t="shared" si="128"/>
        <v>0</v>
      </c>
      <c r="AF106" s="8">
        <f t="shared" si="129"/>
        <v>0</v>
      </c>
      <c r="AG106" s="8">
        <f t="shared" si="130"/>
        <v>0</v>
      </c>
      <c r="AH106" s="8">
        <f t="shared" si="131"/>
        <v>0</v>
      </c>
      <c r="AI106" s="8">
        <f t="shared" si="132"/>
        <v>0</v>
      </c>
      <c r="AK106" s="11" t="e">
        <f t="shared" si="109"/>
        <v>#N/A</v>
      </c>
      <c r="AL106" s="8"/>
      <c r="AN106" s="8"/>
      <c r="AO106" s="8"/>
      <c r="AP106" s="8" t="e">
        <f>IF(C106&lt;=$E$3,IF(OR('Front sheet'!$Q$3="",'Front sheet'!$Q$3=0),NA(),'Front sheet'!$Q$3),NA())</f>
        <v>#N/A</v>
      </c>
      <c r="AQ106" s="8" t="e">
        <f t="shared" ca="1" si="133"/>
        <v>#N/A</v>
      </c>
      <c r="AR106" s="8" t="e">
        <f t="shared" ca="1" si="134"/>
        <v>#N/A</v>
      </c>
      <c r="AS106" s="8" t="e">
        <f t="shared" ca="1" si="135"/>
        <v>#N/A</v>
      </c>
      <c r="AT106" s="8" t="e">
        <f t="shared" ca="1" si="136"/>
        <v>#N/A</v>
      </c>
      <c r="AU106" s="8" t="e">
        <f t="shared" si="110"/>
        <v>#N/A</v>
      </c>
      <c r="AV106" s="8" t="e">
        <f t="shared" ca="1" si="137"/>
        <v>#N/A</v>
      </c>
      <c r="AX106" s="7" t="str">
        <f t="shared" si="166"/>
        <v/>
      </c>
      <c r="AY106" s="2" t="str">
        <f t="shared" si="167"/>
        <v/>
      </c>
      <c r="BA106" s="2">
        <v>98</v>
      </c>
      <c r="BB106">
        <f t="shared" ca="1" si="168"/>
        <v>3</v>
      </c>
      <c r="BC106" s="14" t="str">
        <f t="shared" si="169"/>
        <v/>
      </c>
      <c r="BD106" s="5" t="e">
        <f t="shared" si="148"/>
        <v>#N/A</v>
      </c>
      <c r="BE106" s="5" t="e">
        <f t="shared" si="149"/>
        <v>#N/A</v>
      </c>
      <c r="BF106" s="5" t="e">
        <f t="shared" si="150"/>
        <v>#N/A</v>
      </c>
      <c r="BG106" s="5" t="e">
        <f t="shared" si="151"/>
        <v>#N/A</v>
      </c>
      <c r="BH106" s="5" t="e">
        <f t="shared" si="152"/>
        <v>#N/A</v>
      </c>
      <c r="BI106">
        <f t="shared" ca="1" si="170"/>
        <v>1</v>
      </c>
      <c r="BJ106" s="158" t="e">
        <f t="shared" si="171"/>
        <v>#N/A</v>
      </c>
      <c r="BK106" s="158" t="e">
        <f t="shared" si="172"/>
        <v>#N/A</v>
      </c>
      <c r="BL106" s="158" t="e">
        <f t="shared" si="173"/>
        <v>#N/A</v>
      </c>
      <c r="BM106" s="158" t="e">
        <f t="shared" si="174"/>
        <v>#N/A</v>
      </c>
      <c r="BN106" s="19"/>
      <c r="BQ106" s="4">
        <v>98</v>
      </c>
      <c r="BR106" s="4" t="e">
        <f t="shared" si="138"/>
        <v>#N/A</v>
      </c>
      <c r="BS106" s="4" t="e">
        <f t="shared" si="139"/>
        <v>#N/A</v>
      </c>
      <c r="BT106" s="4" t="e">
        <f t="shared" si="140"/>
        <v>#N/A</v>
      </c>
      <c r="BV106" s="4">
        <v>98</v>
      </c>
      <c r="BW106" s="4" t="e">
        <f t="shared" si="141"/>
        <v>#N/A</v>
      </c>
      <c r="BX106" s="4" t="e">
        <f t="shared" si="142"/>
        <v>#N/A</v>
      </c>
      <c r="BZ106" s="4">
        <v>98</v>
      </c>
      <c r="CA106" s="4" t="e">
        <f t="shared" si="143"/>
        <v>#N/A</v>
      </c>
      <c r="CB106" s="4" t="e">
        <f t="shared" si="144"/>
        <v>#N/A</v>
      </c>
      <c r="CC106" s="4" t="e">
        <f t="shared" si="145"/>
        <v>#N/A</v>
      </c>
      <c r="CD106" s="4" t="e">
        <f t="shared" si="146"/>
        <v>#N/A</v>
      </c>
      <c r="CG106" s="4">
        <v>98</v>
      </c>
      <c r="CH106" s="4" t="e">
        <f t="shared" si="175"/>
        <v>#N/A</v>
      </c>
      <c r="CI106" s="4" t="e">
        <f t="shared" si="176"/>
        <v>#N/A</v>
      </c>
      <c r="CJ106" s="4" t="e">
        <f t="shared" si="177"/>
        <v>#N/A</v>
      </c>
      <c r="CL106">
        <f t="shared" si="153"/>
        <v>0</v>
      </c>
      <c r="CM106">
        <f t="shared" si="154"/>
        <v>0</v>
      </c>
    </row>
    <row r="107" spans="2:91" ht="15.75" thickBot="1" x14ac:dyDescent="0.3">
      <c r="B107">
        <f t="shared" si="155"/>
        <v>0</v>
      </c>
      <c r="C107" s="18">
        <v>99</v>
      </c>
      <c r="D107" s="17" t="str">
        <f>IF('Front sheet'!L24="","",'Front sheet'!$L24)</f>
        <v/>
      </c>
      <c r="E107" s="149" t="e">
        <f>IF('Front sheet'!N24="",NA(),'Front sheet'!N24)</f>
        <v>#N/A</v>
      </c>
      <c r="F107" s="195" t="e">
        <f>IF('Front sheet'!N24="",NA(),'Front sheet'!M24/'Front sheet'!N24)</f>
        <v>#N/A</v>
      </c>
      <c r="G107" s="206">
        <f t="shared" ca="1" si="156"/>
        <v>0.87525423728813556</v>
      </c>
      <c r="H107" s="200" t="e">
        <f t="shared" ca="1" si="123"/>
        <v>#N/A</v>
      </c>
      <c r="I107" s="192" t="e">
        <f t="shared" ca="1" si="124"/>
        <v>#N/A</v>
      </c>
      <c r="J107" s="150" t="e">
        <f>IF('Front sheet'!N24="",NA(),'Front sheet'!M24)</f>
        <v>#N/A</v>
      </c>
      <c r="K107" s="10" t="str">
        <f t="shared" si="157"/>
        <v/>
      </c>
      <c r="L107" s="9" t="e">
        <f t="shared" ca="1" si="158"/>
        <v>#N/A</v>
      </c>
      <c r="M107" s="8" t="e">
        <f t="shared" ca="1" si="159"/>
        <v>#N/A</v>
      </c>
      <c r="N107" t="e">
        <f t="shared" ca="1" si="160"/>
        <v>#N/A</v>
      </c>
      <c r="O107" s="8" t="e">
        <f t="shared" ca="1" si="147"/>
        <v>#N/A</v>
      </c>
      <c r="P107" t="e">
        <f t="shared" ca="1" si="161"/>
        <v>#N/A</v>
      </c>
      <c r="Q107" s="8">
        <f>IF(ISERROR($F107),0,IF($F107&gt;$H107,MAX($Q$8:Q106)+1,0))</f>
        <v>0</v>
      </c>
      <c r="R107" s="8">
        <f>IF(ISERROR($F107),0,IF($F107&lt;$I107,MAX($R$8:R106)+1,0))</f>
        <v>0</v>
      </c>
      <c r="T107" s="8">
        <f t="shared" si="162"/>
        <v>0</v>
      </c>
      <c r="U107" s="8">
        <f t="shared" ca="1" si="125"/>
        <v>0</v>
      </c>
      <c r="W107" s="8">
        <f t="shared" si="163"/>
        <v>0</v>
      </c>
      <c r="X107" s="8">
        <f t="shared" ca="1" si="126"/>
        <v>0</v>
      </c>
      <c r="Z107" s="8">
        <f t="shared" si="164"/>
        <v>0</v>
      </c>
      <c r="AA107" s="8">
        <f t="shared" si="127"/>
        <v>0</v>
      </c>
      <c r="AC107" s="8">
        <f t="shared" si="165"/>
        <v>0</v>
      </c>
      <c r="AD107" s="8">
        <f t="shared" si="128"/>
        <v>0</v>
      </c>
      <c r="AF107" s="8">
        <f t="shared" si="129"/>
        <v>0</v>
      </c>
      <c r="AG107" s="8">
        <f t="shared" si="130"/>
        <v>0</v>
      </c>
      <c r="AH107" s="8">
        <f t="shared" si="131"/>
        <v>0</v>
      </c>
      <c r="AI107" s="8">
        <f t="shared" si="132"/>
        <v>0</v>
      </c>
      <c r="AK107" s="11" t="e">
        <f t="shared" si="109"/>
        <v>#N/A</v>
      </c>
      <c r="AL107" s="8"/>
      <c r="AN107" s="8"/>
      <c r="AO107" s="8"/>
      <c r="AP107" s="8" t="e">
        <f>IF(C107&lt;=$E$3,IF(OR('Front sheet'!$Q$3="",'Front sheet'!$Q$3=0),NA(),'Front sheet'!$Q$3),NA())</f>
        <v>#N/A</v>
      </c>
      <c r="AQ107" s="8" t="e">
        <f t="shared" ca="1" si="133"/>
        <v>#N/A</v>
      </c>
      <c r="AR107" s="8" t="e">
        <f t="shared" ca="1" si="134"/>
        <v>#N/A</v>
      </c>
      <c r="AS107" s="8" t="e">
        <f t="shared" ca="1" si="135"/>
        <v>#N/A</v>
      </c>
      <c r="AT107" s="8" t="e">
        <f t="shared" ca="1" si="136"/>
        <v>#N/A</v>
      </c>
      <c r="AU107" s="8" t="e">
        <f t="shared" si="110"/>
        <v>#N/A</v>
      </c>
      <c r="AV107" s="8" t="e">
        <f t="shared" ca="1" si="137"/>
        <v>#N/A</v>
      </c>
      <c r="AX107" s="7" t="str">
        <f t="shared" si="166"/>
        <v/>
      </c>
      <c r="AY107" s="2" t="str">
        <f t="shared" si="167"/>
        <v/>
      </c>
      <c r="BA107" s="2">
        <v>99</v>
      </c>
      <c r="BB107">
        <f t="shared" ca="1" si="168"/>
        <v>3</v>
      </c>
      <c r="BC107" s="14" t="str">
        <f t="shared" si="169"/>
        <v/>
      </c>
      <c r="BD107" s="5" t="e">
        <f t="shared" si="148"/>
        <v>#N/A</v>
      </c>
      <c r="BE107" s="5" t="e">
        <f t="shared" si="149"/>
        <v>#N/A</v>
      </c>
      <c r="BF107" s="5" t="e">
        <f t="shared" si="150"/>
        <v>#N/A</v>
      </c>
      <c r="BG107" s="5" t="e">
        <f t="shared" si="151"/>
        <v>#N/A</v>
      </c>
      <c r="BH107" s="5" t="e">
        <f t="shared" si="152"/>
        <v>#N/A</v>
      </c>
      <c r="BI107">
        <f t="shared" ca="1" si="170"/>
        <v>1</v>
      </c>
      <c r="BJ107" s="158" t="e">
        <f t="shared" si="171"/>
        <v>#N/A</v>
      </c>
      <c r="BK107" s="158" t="e">
        <f t="shared" si="172"/>
        <v>#N/A</v>
      </c>
      <c r="BL107" s="158" t="e">
        <f t="shared" si="173"/>
        <v>#N/A</v>
      </c>
      <c r="BM107" s="158" t="e">
        <f t="shared" si="174"/>
        <v>#N/A</v>
      </c>
      <c r="BN107" s="19"/>
      <c r="BQ107" s="4">
        <v>99</v>
      </c>
      <c r="BR107" s="4" t="e">
        <f t="shared" si="138"/>
        <v>#N/A</v>
      </c>
      <c r="BS107" s="4" t="e">
        <f t="shared" si="139"/>
        <v>#N/A</v>
      </c>
      <c r="BT107" s="4" t="e">
        <f t="shared" si="140"/>
        <v>#N/A</v>
      </c>
      <c r="BV107" s="4">
        <v>99</v>
      </c>
      <c r="BW107" s="4" t="e">
        <f t="shared" si="141"/>
        <v>#N/A</v>
      </c>
      <c r="BX107" s="4" t="e">
        <f t="shared" si="142"/>
        <v>#N/A</v>
      </c>
      <c r="BZ107" s="4">
        <v>99</v>
      </c>
      <c r="CA107" s="4" t="e">
        <f t="shared" si="143"/>
        <v>#N/A</v>
      </c>
      <c r="CB107" s="4" t="e">
        <f t="shared" si="144"/>
        <v>#N/A</v>
      </c>
      <c r="CC107" s="4" t="e">
        <f t="shared" si="145"/>
        <v>#N/A</v>
      </c>
      <c r="CD107" s="4" t="e">
        <f t="shared" si="146"/>
        <v>#N/A</v>
      </c>
      <c r="CG107" s="4">
        <v>99</v>
      </c>
      <c r="CH107" s="4" t="e">
        <f t="shared" si="175"/>
        <v>#N/A</v>
      </c>
      <c r="CI107" s="4" t="e">
        <f t="shared" si="176"/>
        <v>#N/A</v>
      </c>
      <c r="CJ107" s="4" t="e">
        <f t="shared" si="177"/>
        <v>#N/A</v>
      </c>
      <c r="CL107">
        <f t="shared" si="153"/>
        <v>0</v>
      </c>
      <c r="CM107">
        <f t="shared" si="154"/>
        <v>0</v>
      </c>
    </row>
    <row r="108" spans="2:91" ht="15.75" thickBot="1" x14ac:dyDescent="0.3">
      <c r="B108">
        <f t="shared" si="155"/>
        <v>0</v>
      </c>
      <c r="C108" s="16">
        <v>100</v>
      </c>
      <c r="D108" s="15" t="str">
        <f>IF('Front sheet'!L25="","",'Front sheet'!$L25)</f>
        <v/>
      </c>
      <c r="E108" s="149" t="e">
        <f>IF('Front sheet'!N25="",NA(),'Front sheet'!N25)</f>
        <v>#N/A</v>
      </c>
      <c r="F108" s="196" t="e">
        <f>IF('Front sheet'!N25="",NA(),'Front sheet'!M25/'Front sheet'!N25)</f>
        <v>#N/A</v>
      </c>
      <c r="G108" s="205">
        <f t="shared" ca="1" si="156"/>
        <v>0.87525423728813556</v>
      </c>
      <c r="H108" s="201" t="e">
        <f t="shared" ca="1" si="123"/>
        <v>#N/A</v>
      </c>
      <c r="I108" s="157" t="e">
        <f t="shared" ca="1" si="124"/>
        <v>#N/A</v>
      </c>
      <c r="J108" s="151" t="e">
        <f>IF('Front sheet'!N25="",NA(),'Front sheet'!M25)</f>
        <v>#N/A</v>
      </c>
      <c r="K108" s="10" t="str">
        <f t="shared" si="157"/>
        <v/>
      </c>
      <c r="L108" s="9" t="e">
        <f t="shared" ca="1" si="158"/>
        <v>#N/A</v>
      </c>
      <c r="M108" s="8" t="e">
        <f t="shared" ca="1" si="159"/>
        <v>#N/A</v>
      </c>
      <c r="N108" t="e">
        <f t="shared" ca="1" si="160"/>
        <v>#N/A</v>
      </c>
      <c r="O108" s="8" t="e">
        <f t="shared" ca="1" si="147"/>
        <v>#N/A</v>
      </c>
      <c r="P108" t="e">
        <f t="shared" ca="1" si="161"/>
        <v>#N/A</v>
      </c>
      <c r="Q108" s="8">
        <f>IF(ISERROR($F108),0,IF($F108&gt;$H108,MAX($Q$8:Q107)+1,0))</f>
        <v>0</v>
      </c>
      <c r="R108" s="8">
        <f>IF(ISERROR($F108),0,IF($F108&lt;$I108,MAX($R$8:R107)+1,0))</f>
        <v>0</v>
      </c>
      <c r="T108" s="8">
        <f t="shared" si="162"/>
        <v>0</v>
      </c>
      <c r="U108" s="8">
        <f t="shared" ca="1" si="125"/>
        <v>0</v>
      </c>
      <c r="W108" s="8">
        <f t="shared" si="163"/>
        <v>0</v>
      </c>
      <c r="X108" s="8">
        <f t="shared" ca="1" si="126"/>
        <v>0</v>
      </c>
      <c r="Z108" s="8">
        <f t="shared" si="164"/>
        <v>0</v>
      </c>
      <c r="AA108" s="8">
        <f t="shared" si="127"/>
        <v>0</v>
      </c>
      <c r="AC108" s="8">
        <f t="shared" si="165"/>
        <v>0</v>
      </c>
      <c r="AD108" s="8">
        <f t="shared" si="128"/>
        <v>0</v>
      </c>
      <c r="AF108" s="8">
        <f t="shared" si="129"/>
        <v>0</v>
      </c>
      <c r="AG108" s="8">
        <f t="shared" si="130"/>
        <v>0</v>
      </c>
      <c r="AH108" s="8">
        <f t="shared" si="131"/>
        <v>0</v>
      </c>
      <c r="AI108" s="8">
        <f t="shared" si="132"/>
        <v>0</v>
      </c>
      <c r="AK108" s="11" t="e">
        <f t="shared" si="109"/>
        <v>#N/A</v>
      </c>
      <c r="AL108" s="8"/>
      <c r="AN108" s="8"/>
      <c r="AO108" s="8"/>
      <c r="AP108" s="8" t="e">
        <f>IF(C108&lt;=$E$3,IF(OR('Front sheet'!$Q$3="",'Front sheet'!$Q$3=0),NA(),'Front sheet'!$Q$3),NA())</f>
        <v>#N/A</v>
      </c>
      <c r="AQ108" s="8" t="e">
        <f t="shared" ca="1" si="133"/>
        <v>#N/A</v>
      </c>
      <c r="AR108" s="8" t="e">
        <f t="shared" ca="1" si="134"/>
        <v>#N/A</v>
      </c>
      <c r="AS108" s="8" t="e">
        <f t="shared" ca="1" si="135"/>
        <v>#N/A</v>
      </c>
      <c r="AT108" s="8" t="e">
        <f t="shared" ca="1" si="136"/>
        <v>#N/A</v>
      </c>
      <c r="AU108" s="8" t="e">
        <f t="shared" si="110"/>
        <v>#N/A</v>
      </c>
      <c r="AV108" s="8" t="e">
        <f t="shared" ca="1" si="137"/>
        <v>#N/A</v>
      </c>
      <c r="AX108" s="7" t="str">
        <f t="shared" si="166"/>
        <v/>
      </c>
      <c r="AY108" s="2" t="str">
        <f t="shared" si="167"/>
        <v/>
      </c>
      <c r="BA108" s="2">
        <v>100</v>
      </c>
      <c r="BB108">
        <f t="shared" ca="1" si="168"/>
        <v>3</v>
      </c>
      <c r="BC108" s="14" t="str">
        <f t="shared" si="169"/>
        <v/>
      </c>
      <c r="BD108" s="5" t="e">
        <f t="shared" si="148"/>
        <v>#N/A</v>
      </c>
      <c r="BE108" s="5" t="e">
        <f t="shared" si="149"/>
        <v>#N/A</v>
      </c>
      <c r="BF108" s="5" t="e">
        <f t="shared" si="150"/>
        <v>#N/A</v>
      </c>
      <c r="BG108" s="5" t="e">
        <f t="shared" si="151"/>
        <v>#N/A</v>
      </c>
      <c r="BH108" s="5" t="e">
        <f t="shared" si="152"/>
        <v>#N/A</v>
      </c>
      <c r="BI108">
        <f t="shared" ca="1" si="170"/>
        <v>1</v>
      </c>
      <c r="BJ108" s="158" t="e">
        <f t="shared" si="171"/>
        <v>#N/A</v>
      </c>
      <c r="BK108" s="158" t="e">
        <f t="shared" si="172"/>
        <v>#N/A</v>
      </c>
      <c r="BL108" s="158" t="e">
        <f t="shared" si="173"/>
        <v>#N/A</v>
      </c>
      <c r="BM108" s="158" t="e">
        <f t="shared" si="174"/>
        <v>#N/A</v>
      </c>
      <c r="BN108" s="19"/>
      <c r="BQ108" s="4">
        <v>100</v>
      </c>
      <c r="BR108" s="4" t="e">
        <f t="shared" si="138"/>
        <v>#N/A</v>
      </c>
      <c r="BS108" s="4" t="e">
        <f t="shared" si="139"/>
        <v>#N/A</v>
      </c>
      <c r="BT108" s="4" t="e">
        <f t="shared" si="140"/>
        <v>#N/A</v>
      </c>
      <c r="BV108" s="4">
        <v>100</v>
      </c>
      <c r="BW108" s="4" t="e">
        <f t="shared" si="141"/>
        <v>#N/A</v>
      </c>
      <c r="BX108" s="4" t="e">
        <f t="shared" si="142"/>
        <v>#N/A</v>
      </c>
      <c r="BZ108" s="4">
        <v>100</v>
      </c>
      <c r="CA108" s="4" t="e">
        <f t="shared" si="143"/>
        <v>#N/A</v>
      </c>
      <c r="CB108" s="4" t="e">
        <f t="shared" si="144"/>
        <v>#N/A</v>
      </c>
      <c r="CC108" s="4" t="e">
        <f t="shared" si="145"/>
        <v>#N/A</v>
      </c>
      <c r="CD108" s="4" t="e">
        <f t="shared" si="146"/>
        <v>#N/A</v>
      </c>
      <c r="CG108" s="4">
        <v>100</v>
      </c>
      <c r="CH108" s="4" t="e">
        <f t="shared" si="175"/>
        <v>#N/A</v>
      </c>
      <c r="CI108" s="4" t="e">
        <f t="shared" si="176"/>
        <v>#N/A</v>
      </c>
      <c r="CJ108" s="4" t="e">
        <f t="shared" si="177"/>
        <v>#N/A</v>
      </c>
      <c r="CL108">
        <f t="shared" si="153"/>
        <v>0</v>
      </c>
      <c r="CM108">
        <f t="shared" si="154"/>
        <v>0</v>
      </c>
    </row>
    <row r="109" spans="2:91" ht="15.75" thickBot="1" x14ac:dyDescent="0.3">
      <c r="B109">
        <f t="shared" si="155"/>
        <v>0</v>
      </c>
      <c r="C109" s="16">
        <v>101</v>
      </c>
      <c r="D109" s="15" t="str">
        <f>IF('Front sheet'!L26="","",'Front sheet'!$L26)</f>
        <v/>
      </c>
      <c r="E109" s="149" t="e">
        <f>IF('Front sheet'!N26="",NA(),'Front sheet'!N26)</f>
        <v>#N/A</v>
      </c>
      <c r="F109" s="196" t="e">
        <f>IF('Front sheet'!N26="",NA(),'Front sheet'!M26/'Front sheet'!N26)</f>
        <v>#N/A</v>
      </c>
      <c r="G109" s="205">
        <f t="shared" ca="1" si="156"/>
        <v>0.87525423728813556</v>
      </c>
      <c r="H109" s="201" t="e">
        <f t="shared" ca="1" si="123"/>
        <v>#N/A</v>
      </c>
      <c r="I109" s="157" t="e">
        <f t="shared" ca="1" si="124"/>
        <v>#N/A</v>
      </c>
      <c r="J109" s="151" t="e">
        <f>IF('Front sheet'!N26="",NA(),'Front sheet'!M26)</f>
        <v>#N/A</v>
      </c>
      <c r="K109" s="10" t="str">
        <f t="shared" si="157"/>
        <v/>
      </c>
      <c r="L109" s="9" t="e">
        <f t="shared" ca="1" si="158"/>
        <v>#N/A</v>
      </c>
      <c r="M109" s="8" t="e">
        <f t="shared" ca="1" si="159"/>
        <v>#N/A</v>
      </c>
      <c r="N109" t="e">
        <f t="shared" ca="1" si="160"/>
        <v>#N/A</v>
      </c>
      <c r="O109" s="8" t="e">
        <f t="shared" ca="1" si="147"/>
        <v>#N/A</v>
      </c>
      <c r="P109" t="e">
        <f t="shared" ca="1" si="161"/>
        <v>#N/A</v>
      </c>
      <c r="Q109" s="8">
        <f>IF(ISERROR($F109),0,IF($F109&gt;$H109,MAX($Q$8:Q108)+1,0))</f>
        <v>0</v>
      </c>
      <c r="R109" s="8">
        <f>IF(ISERROR($F109),0,IF($F109&lt;$I109,MAX($R$8:R108)+1,0))</f>
        <v>0</v>
      </c>
      <c r="T109" s="8">
        <f t="shared" si="162"/>
        <v>0</v>
      </c>
      <c r="U109" s="8">
        <f t="shared" ca="1" si="125"/>
        <v>0</v>
      </c>
      <c r="W109" s="8">
        <f t="shared" si="163"/>
        <v>0</v>
      </c>
      <c r="X109" s="8">
        <f t="shared" ca="1" si="126"/>
        <v>0</v>
      </c>
      <c r="Z109" s="8">
        <f t="shared" si="164"/>
        <v>0</v>
      </c>
      <c r="AA109" s="8">
        <f t="shared" si="127"/>
        <v>0</v>
      </c>
      <c r="AC109" s="8">
        <f t="shared" si="165"/>
        <v>0</v>
      </c>
      <c r="AD109" s="8">
        <f t="shared" si="128"/>
        <v>0</v>
      </c>
      <c r="AF109" s="8">
        <f t="shared" si="129"/>
        <v>0</v>
      </c>
      <c r="AG109" s="8">
        <f t="shared" si="130"/>
        <v>0</v>
      </c>
      <c r="AH109" s="8">
        <f t="shared" si="131"/>
        <v>0</v>
      </c>
      <c r="AI109" s="8">
        <f t="shared" si="132"/>
        <v>0</v>
      </c>
      <c r="AK109" s="11" t="e">
        <f t="shared" si="109"/>
        <v>#N/A</v>
      </c>
      <c r="AL109" s="8"/>
      <c r="AN109" s="8"/>
      <c r="AO109" s="8"/>
      <c r="AP109" s="8" t="e">
        <f>IF(C109&lt;=$E$3,IF(OR('Front sheet'!$Q$3="",'Front sheet'!$Q$3=0),NA(),'Front sheet'!$Q$3),NA())</f>
        <v>#N/A</v>
      </c>
      <c r="AQ109" s="8" t="e">
        <f t="shared" ca="1" si="133"/>
        <v>#N/A</v>
      </c>
      <c r="AR109" s="8" t="e">
        <f t="shared" ca="1" si="134"/>
        <v>#N/A</v>
      </c>
      <c r="AS109" s="8" t="e">
        <f t="shared" ca="1" si="135"/>
        <v>#N/A</v>
      </c>
      <c r="AT109" s="8" t="e">
        <f t="shared" ca="1" si="136"/>
        <v>#N/A</v>
      </c>
      <c r="AU109" s="8" t="e">
        <f t="shared" si="110"/>
        <v>#N/A</v>
      </c>
      <c r="AV109" s="8" t="e">
        <f t="shared" ca="1" si="137"/>
        <v>#N/A</v>
      </c>
      <c r="AX109" s="7" t="str">
        <f t="shared" si="166"/>
        <v/>
      </c>
      <c r="AY109" s="2" t="str">
        <f t="shared" si="167"/>
        <v/>
      </c>
      <c r="BA109" s="2">
        <v>101</v>
      </c>
      <c r="BB109">
        <f t="shared" ca="1" si="168"/>
        <v>3</v>
      </c>
      <c r="BC109" s="14" t="str">
        <f t="shared" si="169"/>
        <v/>
      </c>
      <c r="BD109" s="5" t="e">
        <f t="shared" si="148"/>
        <v>#N/A</v>
      </c>
      <c r="BE109" s="5" t="e">
        <f t="shared" si="149"/>
        <v>#N/A</v>
      </c>
      <c r="BF109" s="5" t="e">
        <f t="shared" si="150"/>
        <v>#N/A</v>
      </c>
      <c r="BG109" s="5" t="e">
        <f t="shared" si="151"/>
        <v>#N/A</v>
      </c>
      <c r="BH109" s="5" t="e">
        <f t="shared" si="152"/>
        <v>#N/A</v>
      </c>
      <c r="BI109">
        <f t="shared" ca="1" si="170"/>
        <v>1</v>
      </c>
      <c r="BJ109" s="158" t="e">
        <f t="shared" si="171"/>
        <v>#N/A</v>
      </c>
      <c r="BK109" s="158" t="e">
        <f t="shared" si="172"/>
        <v>#N/A</v>
      </c>
      <c r="BL109" s="158" t="e">
        <f t="shared" si="173"/>
        <v>#N/A</v>
      </c>
      <c r="BM109" s="158" t="e">
        <f t="shared" si="174"/>
        <v>#N/A</v>
      </c>
      <c r="BN109" s="19"/>
      <c r="BQ109" s="4">
        <v>101</v>
      </c>
      <c r="BR109" s="4" t="e">
        <f t="shared" si="138"/>
        <v>#N/A</v>
      </c>
      <c r="BS109" s="4" t="e">
        <f t="shared" si="139"/>
        <v>#N/A</v>
      </c>
      <c r="BT109" s="4" t="e">
        <f t="shared" si="140"/>
        <v>#N/A</v>
      </c>
      <c r="BV109" s="4">
        <v>101</v>
      </c>
      <c r="BW109" s="4" t="e">
        <f t="shared" si="141"/>
        <v>#N/A</v>
      </c>
      <c r="BX109" s="4" t="e">
        <f t="shared" si="142"/>
        <v>#N/A</v>
      </c>
      <c r="BZ109" s="4">
        <v>101</v>
      </c>
      <c r="CA109" s="4" t="e">
        <f t="shared" si="143"/>
        <v>#N/A</v>
      </c>
      <c r="CB109" s="4" t="e">
        <f t="shared" si="144"/>
        <v>#N/A</v>
      </c>
      <c r="CC109" s="4" t="e">
        <f t="shared" si="145"/>
        <v>#N/A</v>
      </c>
      <c r="CD109" s="4" t="e">
        <f t="shared" si="146"/>
        <v>#N/A</v>
      </c>
      <c r="CG109" s="4">
        <v>101</v>
      </c>
      <c r="CH109" s="4" t="e">
        <f t="shared" si="175"/>
        <v>#N/A</v>
      </c>
      <c r="CI109" s="4" t="e">
        <f t="shared" si="176"/>
        <v>#N/A</v>
      </c>
      <c r="CJ109" s="4" t="e">
        <f t="shared" si="177"/>
        <v>#N/A</v>
      </c>
      <c r="CL109">
        <f t="shared" si="153"/>
        <v>0</v>
      </c>
      <c r="CM109">
        <f t="shared" si="154"/>
        <v>0</v>
      </c>
    </row>
    <row r="110" spans="2:91" ht="15.75" thickBot="1" x14ac:dyDescent="0.3">
      <c r="B110">
        <f t="shared" si="155"/>
        <v>0</v>
      </c>
      <c r="C110" s="16">
        <v>102</v>
      </c>
      <c r="D110" s="15" t="str">
        <f>IF('Front sheet'!L27="","",'Front sheet'!$L27)</f>
        <v/>
      </c>
      <c r="E110" s="149" t="e">
        <f>IF('Front sheet'!N27="",NA(),'Front sheet'!N27)</f>
        <v>#N/A</v>
      </c>
      <c r="F110" s="196" t="e">
        <f>IF('Front sheet'!N27="",NA(),'Front sheet'!M27/'Front sheet'!N27)</f>
        <v>#N/A</v>
      </c>
      <c r="G110" s="205">
        <f t="shared" ca="1" si="156"/>
        <v>0.87525423728813556</v>
      </c>
      <c r="H110" s="201" t="e">
        <f t="shared" ca="1" si="123"/>
        <v>#N/A</v>
      </c>
      <c r="I110" s="157" t="e">
        <f t="shared" ca="1" si="124"/>
        <v>#N/A</v>
      </c>
      <c r="J110" s="151" t="e">
        <f>IF('Front sheet'!N27="",NA(),'Front sheet'!M27)</f>
        <v>#N/A</v>
      </c>
      <c r="K110" s="10" t="str">
        <f t="shared" si="157"/>
        <v/>
      </c>
      <c r="L110" s="9" t="e">
        <f t="shared" ca="1" si="158"/>
        <v>#N/A</v>
      </c>
      <c r="M110" s="8" t="e">
        <f t="shared" ca="1" si="159"/>
        <v>#N/A</v>
      </c>
      <c r="N110" t="e">
        <f t="shared" ca="1" si="160"/>
        <v>#N/A</v>
      </c>
      <c r="O110" s="8" t="e">
        <f t="shared" ca="1" si="147"/>
        <v>#N/A</v>
      </c>
      <c r="P110" t="e">
        <f t="shared" ca="1" si="161"/>
        <v>#N/A</v>
      </c>
      <c r="Q110" s="8">
        <f>IF(ISERROR($F110),0,IF($F110&gt;$H110,MAX($Q$8:Q109)+1,0))</f>
        <v>0</v>
      </c>
      <c r="R110" s="8">
        <f>IF(ISERROR($F110),0,IF($F110&lt;$I110,MAX($R$8:R109)+1,0))</f>
        <v>0</v>
      </c>
      <c r="T110" s="8">
        <f t="shared" si="162"/>
        <v>0</v>
      </c>
      <c r="U110" s="8">
        <f t="shared" ca="1" si="125"/>
        <v>0</v>
      </c>
      <c r="W110" s="8">
        <f t="shared" si="163"/>
        <v>0</v>
      </c>
      <c r="X110" s="8">
        <f t="shared" ca="1" si="126"/>
        <v>0</v>
      </c>
      <c r="Z110" s="8">
        <f t="shared" si="164"/>
        <v>0</v>
      </c>
      <c r="AA110" s="8">
        <f t="shared" si="127"/>
        <v>0</v>
      </c>
      <c r="AC110" s="8">
        <f t="shared" si="165"/>
        <v>0</v>
      </c>
      <c r="AD110" s="8">
        <f t="shared" si="128"/>
        <v>0</v>
      </c>
      <c r="AF110" s="8">
        <f t="shared" si="129"/>
        <v>0</v>
      </c>
      <c r="AG110" s="8">
        <f t="shared" si="130"/>
        <v>0</v>
      </c>
      <c r="AH110" s="8">
        <f t="shared" si="131"/>
        <v>0</v>
      </c>
      <c r="AI110" s="8">
        <f t="shared" si="132"/>
        <v>0</v>
      </c>
      <c r="AK110" s="11" t="e">
        <f t="shared" si="109"/>
        <v>#N/A</v>
      </c>
      <c r="AL110" s="8"/>
      <c r="AN110" s="8"/>
      <c r="AO110" s="8"/>
      <c r="AP110" s="8" t="e">
        <f>IF(C110&lt;=$E$3,IF(OR('Front sheet'!$Q$3="",'Front sheet'!$Q$3=0),NA(),'Front sheet'!$Q$3),NA())</f>
        <v>#N/A</v>
      </c>
      <c r="AQ110" s="8" t="e">
        <f t="shared" ca="1" si="133"/>
        <v>#N/A</v>
      </c>
      <c r="AR110" s="8" t="e">
        <f t="shared" ca="1" si="134"/>
        <v>#N/A</v>
      </c>
      <c r="AS110" s="8" t="e">
        <f t="shared" ca="1" si="135"/>
        <v>#N/A</v>
      </c>
      <c r="AT110" s="8" t="e">
        <f t="shared" ca="1" si="136"/>
        <v>#N/A</v>
      </c>
      <c r="AU110" s="8" t="e">
        <f t="shared" si="110"/>
        <v>#N/A</v>
      </c>
      <c r="AV110" s="8" t="e">
        <f t="shared" ca="1" si="137"/>
        <v>#N/A</v>
      </c>
      <c r="AX110" s="7" t="str">
        <f t="shared" si="166"/>
        <v/>
      </c>
      <c r="AY110" s="2" t="str">
        <f t="shared" si="167"/>
        <v/>
      </c>
      <c r="BA110" s="2">
        <v>102</v>
      </c>
      <c r="BB110">
        <f t="shared" ca="1" si="168"/>
        <v>3</v>
      </c>
      <c r="BC110" s="14" t="str">
        <f t="shared" si="169"/>
        <v/>
      </c>
      <c r="BD110" s="5" t="e">
        <f t="shared" si="148"/>
        <v>#N/A</v>
      </c>
      <c r="BE110" s="5" t="e">
        <f t="shared" si="149"/>
        <v>#N/A</v>
      </c>
      <c r="BF110" s="5" t="e">
        <f t="shared" si="150"/>
        <v>#N/A</v>
      </c>
      <c r="BG110" s="5" t="e">
        <f t="shared" si="151"/>
        <v>#N/A</v>
      </c>
      <c r="BH110" s="5" t="e">
        <f t="shared" si="152"/>
        <v>#N/A</v>
      </c>
      <c r="BI110">
        <f t="shared" ca="1" si="170"/>
        <v>1</v>
      </c>
      <c r="BJ110" s="158" t="e">
        <f t="shared" si="171"/>
        <v>#N/A</v>
      </c>
      <c r="BK110" s="158" t="e">
        <f t="shared" si="172"/>
        <v>#N/A</v>
      </c>
      <c r="BL110" s="158" t="e">
        <f t="shared" si="173"/>
        <v>#N/A</v>
      </c>
      <c r="BM110" s="158" t="e">
        <f t="shared" si="174"/>
        <v>#N/A</v>
      </c>
      <c r="BN110" s="19"/>
      <c r="BQ110" s="4">
        <v>102</v>
      </c>
      <c r="BR110" s="4" t="e">
        <f t="shared" si="138"/>
        <v>#N/A</v>
      </c>
      <c r="BS110" s="4" t="e">
        <f t="shared" si="139"/>
        <v>#N/A</v>
      </c>
      <c r="BT110" s="4" t="e">
        <f t="shared" si="140"/>
        <v>#N/A</v>
      </c>
      <c r="BV110" s="4">
        <v>102</v>
      </c>
      <c r="BW110" s="4" t="e">
        <f t="shared" si="141"/>
        <v>#N/A</v>
      </c>
      <c r="BX110" s="4" t="e">
        <f t="shared" si="142"/>
        <v>#N/A</v>
      </c>
      <c r="BZ110" s="4">
        <v>102</v>
      </c>
      <c r="CA110" s="4" t="e">
        <f t="shared" si="143"/>
        <v>#N/A</v>
      </c>
      <c r="CB110" s="4" t="e">
        <f t="shared" si="144"/>
        <v>#N/A</v>
      </c>
      <c r="CC110" s="4" t="e">
        <f t="shared" si="145"/>
        <v>#N/A</v>
      </c>
      <c r="CD110" s="4" t="e">
        <f t="shared" si="146"/>
        <v>#N/A</v>
      </c>
      <c r="CG110" s="4">
        <v>102</v>
      </c>
      <c r="CH110" s="4" t="e">
        <f t="shared" si="175"/>
        <v>#N/A</v>
      </c>
      <c r="CI110" s="4" t="e">
        <f t="shared" si="176"/>
        <v>#N/A</v>
      </c>
      <c r="CJ110" s="4" t="e">
        <f t="shared" si="177"/>
        <v>#N/A</v>
      </c>
      <c r="CL110">
        <f t="shared" si="153"/>
        <v>0</v>
      </c>
      <c r="CM110">
        <f t="shared" si="154"/>
        <v>0</v>
      </c>
    </row>
    <row r="111" spans="2:91" ht="15.75" thickBot="1" x14ac:dyDescent="0.3">
      <c r="B111">
        <f t="shared" si="155"/>
        <v>0</v>
      </c>
      <c r="C111" s="16">
        <v>103</v>
      </c>
      <c r="D111" s="15" t="str">
        <f>IF('Front sheet'!L28="","",'Front sheet'!$L28)</f>
        <v/>
      </c>
      <c r="E111" s="149" t="e">
        <f>IF('Front sheet'!N28="",NA(),'Front sheet'!N28)</f>
        <v>#N/A</v>
      </c>
      <c r="F111" s="196" t="e">
        <f>IF('Front sheet'!N28="",NA(),'Front sheet'!M28/'Front sheet'!N28)</f>
        <v>#N/A</v>
      </c>
      <c r="G111" s="205">
        <f t="shared" ca="1" si="156"/>
        <v>0.87525423728813556</v>
      </c>
      <c r="H111" s="201" t="e">
        <f t="shared" ca="1" si="123"/>
        <v>#N/A</v>
      </c>
      <c r="I111" s="157" t="e">
        <f t="shared" ca="1" si="124"/>
        <v>#N/A</v>
      </c>
      <c r="J111" s="151" t="e">
        <f>IF('Front sheet'!N28="",NA(),'Front sheet'!M28)</f>
        <v>#N/A</v>
      </c>
      <c r="K111" s="10" t="str">
        <f t="shared" si="157"/>
        <v/>
      </c>
      <c r="L111" s="9" t="e">
        <f t="shared" ca="1" si="158"/>
        <v>#N/A</v>
      </c>
      <c r="M111" s="8" t="e">
        <f t="shared" ca="1" si="159"/>
        <v>#N/A</v>
      </c>
      <c r="N111" t="e">
        <f t="shared" ca="1" si="160"/>
        <v>#N/A</v>
      </c>
      <c r="O111" s="8" t="e">
        <f t="shared" ca="1" si="147"/>
        <v>#N/A</v>
      </c>
      <c r="P111" t="e">
        <f t="shared" ca="1" si="161"/>
        <v>#N/A</v>
      </c>
      <c r="Q111" s="8">
        <f>IF(ISERROR($F111),0,IF($F111&gt;$H111,MAX($Q$8:Q110)+1,0))</f>
        <v>0</v>
      </c>
      <c r="R111" s="8">
        <f>IF(ISERROR($F111),0,IF($F111&lt;$I111,MAX($R$8:R110)+1,0))</f>
        <v>0</v>
      </c>
      <c r="T111" s="8">
        <f t="shared" si="162"/>
        <v>0</v>
      </c>
      <c r="U111" s="8">
        <f t="shared" ca="1" si="125"/>
        <v>0</v>
      </c>
      <c r="W111" s="8">
        <f t="shared" si="163"/>
        <v>0</v>
      </c>
      <c r="X111" s="8">
        <f t="shared" ca="1" si="126"/>
        <v>0</v>
      </c>
      <c r="Z111" s="8">
        <f t="shared" si="164"/>
        <v>0</v>
      </c>
      <c r="AA111" s="8">
        <f t="shared" si="127"/>
        <v>0</v>
      </c>
      <c r="AC111" s="8">
        <f t="shared" si="165"/>
        <v>0</v>
      </c>
      <c r="AD111" s="8">
        <f t="shared" si="128"/>
        <v>0</v>
      </c>
      <c r="AF111" s="8">
        <f t="shared" si="129"/>
        <v>0</v>
      </c>
      <c r="AG111" s="8">
        <f t="shared" si="130"/>
        <v>0</v>
      </c>
      <c r="AH111" s="8">
        <f t="shared" si="131"/>
        <v>0</v>
      </c>
      <c r="AI111" s="8">
        <f t="shared" si="132"/>
        <v>0</v>
      </c>
      <c r="AK111" s="11" t="e">
        <f t="shared" si="109"/>
        <v>#N/A</v>
      </c>
      <c r="AL111" s="8"/>
      <c r="AN111" s="8"/>
      <c r="AO111" s="8"/>
      <c r="AP111" s="8" t="e">
        <f>IF(C111&lt;=$E$3,IF(OR('Front sheet'!$Q$3="",'Front sheet'!$Q$3=0),NA(),'Front sheet'!$Q$3),NA())</f>
        <v>#N/A</v>
      </c>
      <c r="AQ111" s="8" t="e">
        <f t="shared" ca="1" si="133"/>
        <v>#N/A</v>
      </c>
      <c r="AR111" s="8" t="e">
        <f t="shared" ca="1" si="134"/>
        <v>#N/A</v>
      </c>
      <c r="AS111" s="8" t="e">
        <f t="shared" ca="1" si="135"/>
        <v>#N/A</v>
      </c>
      <c r="AT111" s="8" t="e">
        <f t="shared" ca="1" si="136"/>
        <v>#N/A</v>
      </c>
      <c r="AU111" s="8" t="e">
        <f t="shared" si="110"/>
        <v>#N/A</v>
      </c>
      <c r="AV111" s="8" t="e">
        <f t="shared" ca="1" si="137"/>
        <v>#N/A</v>
      </c>
      <c r="AX111" s="7" t="str">
        <f t="shared" si="166"/>
        <v/>
      </c>
      <c r="AY111" s="2" t="str">
        <f t="shared" si="167"/>
        <v/>
      </c>
      <c r="BA111" s="2">
        <v>103</v>
      </c>
      <c r="BB111">
        <f t="shared" ca="1" si="168"/>
        <v>3</v>
      </c>
      <c r="BC111" s="14" t="str">
        <f t="shared" si="169"/>
        <v/>
      </c>
      <c r="BD111" s="5" t="e">
        <f t="shared" si="148"/>
        <v>#N/A</v>
      </c>
      <c r="BE111" s="5" t="e">
        <f t="shared" si="149"/>
        <v>#N/A</v>
      </c>
      <c r="BF111" s="5" t="e">
        <f t="shared" si="150"/>
        <v>#N/A</v>
      </c>
      <c r="BG111" s="5" t="e">
        <f t="shared" si="151"/>
        <v>#N/A</v>
      </c>
      <c r="BH111" s="5" t="e">
        <f t="shared" si="152"/>
        <v>#N/A</v>
      </c>
      <c r="BI111">
        <f t="shared" ca="1" si="170"/>
        <v>1</v>
      </c>
      <c r="BJ111" s="158" t="e">
        <f t="shared" si="171"/>
        <v>#N/A</v>
      </c>
      <c r="BK111" s="158" t="e">
        <f t="shared" si="172"/>
        <v>#N/A</v>
      </c>
      <c r="BL111" s="158" t="e">
        <f t="shared" si="173"/>
        <v>#N/A</v>
      </c>
      <c r="BM111" s="158" t="e">
        <f t="shared" si="174"/>
        <v>#N/A</v>
      </c>
      <c r="BN111" s="19"/>
      <c r="BQ111" s="4">
        <v>103</v>
      </c>
      <c r="BR111" s="4" t="e">
        <f t="shared" si="138"/>
        <v>#N/A</v>
      </c>
      <c r="BS111" s="4" t="e">
        <f t="shared" si="139"/>
        <v>#N/A</v>
      </c>
      <c r="BT111" s="4" t="e">
        <f t="shared" si="140"/>
        <v>#N/A</v>
      </c>
      <c r="BV111" s="4">
        <v>103</v>
      </c>
      <c r="BW111" s="4" t="e">
        <f t="shared" si="141"/>
        <v>#N/A</v>
      </c>
      <c r="BX111" s="4" t="e">
        <f t="shared" si="142"/>
        <v>#N/A</v>
      </c>
      <c r="BZ111" s="4">
        <v>103</v>
      </c>
      <c r="CA111" s="4" t="e">
        <f t="shared" si="143"/>
        <v>#N/A</v>
      </c>
      <c r="CB111" s="4" t="e">
        <f t="shared" si="144"/>
        <v>#N/A</v>
      </c>
      <c r="CC111" s="4" t="e">
        <f t="shared" si="145"/>
        <v>#N/A</v>
      </c>
      <c r="CD111" s="4" t="e">
        <f t="shared" si="146"/>
        <v>#N/A</v>
      </c>
      <c r="CG111" s="4">
        <v>103</v>
      </c>
      <c r="CH111" s="4" t="e">
        <f t="shared" si="175"/>
        <v>#N/A</v>
      </c>
      <c r="CI111" s="4" t="e">
        <f t="shared" si="176"/>
        <v>#N/A</v>
      </c>
      <c r="CJ111" s="4" t="e">
        <f t="shared" si="177"/>
        <v>#N/A</v>
      </c>
      <c r="CL111">
        <f t="shared" si="153"/>
        <v>0</v>
      </c>
      <c r="CM111">
        <f t="shared" si="154"/>
        <v>0</v>
      </c>
    </row>
    <row r="112" spans="2:91" ht="15.75" thickBot="1" x14ac:dyDescent="0.3">
      <c r="B112">
        <f t="shared" si="155"/>
        <v>0</v>
      </c>
      <c r="C112" s="16">
        <v>104</v>
      </c>
      <c r="D112" s="15" t="str">
        <f>IF('Front sheet'!L29="","",'Front sheet'!$L29)</f>
        <v/>
      </c>
      <c r="E112" s="149" t="e">
        <f>IF('Front sheet'!N29="",NA(),'Front sheet'!N29)</f>
        <v>#N/A</v>
      </c>
      <c r="F112" s="196" t="e">
        <f>IF('Front sheet'!N29="",NA(),'Front sheet'!M29/'Front sheet'!N29)</f>
        <v>#N/A</v>
      </c>
      <c r="G112" s="205">
        <f t="shared" ca="1" si="156"/>
        <v>0.87525423728813556</v>
      </c>
      <c r="H112" s="201" t="e">
        <f t="shared" ca="1" si="123"/>
        <v>#N/A</v>
      </c>
      <c r="I112" s="157" t="e">
        <f t="shared" ca="1" si="124"/>
        <v>#N/A</v>
      </c>
      <c r="J112" s="151" t="e">
        <f>IF('Front sheet'!N29="",NA(),'Front sheet'!M29)</f>
        <v>#N/A</v>
      </c>
      <c r="K112" s="10" t="str">
        <f t="shared" si="157"/>
        <v/>
      </c>
      <c r="L112" s="9" t="e">
        <f t="shared" ca="1" si="158"/>
        <v>#N/A</v>
      </c>
      <c r="M112" s="8" t="e">
        <f t="shared" ca="1" si="159"/>
        <v>#N/A</v>
      </c>
      <c r="N112" t="e">
        <f t="shared" ca="1" si="160"/>
        <v>#N/A</v>
      </c>
      <c r="O112" s="8" t="e">
        <f t="shared" ca="1" si="147"/>
        <v>#N/A</v>
      </c>
      <c r="P112" t="e">
        <f t="shared" ca="1" si="161"/>
        <v>#N/A</v>
      </c>
      <c r="Q112" s="8">
        <f>IF(ISERROR($F112),0,IF($F112&gt;$H112,MAX($Q$8:Q111)+1,0))</f>
        <v>0</v>
      </c>
      <c r="R112" s="8">
        <f>IF(ISERROR($F112),0,IF($F112&lt;$I112,MAX($R$8:R111)+1,0))</f>
        <v>0</v>
      </c>
      <c r="T112" s="8">
        <f t="shared" si="162"/>
        <v>0</v>
      </c>
      <c r="U112" s="8">
        <f t="shared" ca="1" si="125"/>
        <v>0</v>
      </c>
      <c r="W112" s="8">
        <f t="shared" si="163"/>
        <v>0</v>
      </c>
      <c r="X112" s="8">
        <f t="shared" ca="1" si="126"/>
        <v>0</v>
      </c>
      <c r="Z112" s="8">
        <f t="shared" si="164"/>
        <v>0</v>
      </c>
      <c r="AA112" s="8">
        <f t="shared" si="127"/>
        <v>0</v>
      </c>
      <c r="AC112" s="8">
        <f t="shared" si="165"/>
        <v>0</v>
      </c>
      <c r="AD112" s="8">
        <f t="shared" si="128"/>
        <v>0</v>
      </c>
      <c r="AF112" s="8">
        <f t="shared" si="129"/>
        <v>0</v>
      </c>
      <c r="AG112" s="8">
        <f t="shared" si="130"/>
        <v>0</v>
      </c>
      <c r="AH112" s="8">
        <f t="shared" si="131"/>
        <v>0</v>
      </c>
      <c r="AI112" s="8">
        <f t="shared" si="132"/>
        <v>0</v>
      </c>
      <c r="AK112" s="11" t="e">
        <f t="shared" si="109"/>
        <v>#N/A</v>
      </c>
      <c r="AL112" s="8"/>
      <c r="AN112" s="8"/>
      <c r="AO112" s="8"/>
      <c r="AP112" s="8" t="e">
        <f>IF(C112&lt;=$E$3,IF(OR('Front sheet'!$Q$3="",'Front sheet'!$Q$3=0),NA(),'Front sheet'!$Q$3),NA())</f>
        <v>#N/A</v>
      </c>
      <c r="AQ112" s="8" t="e">
        <f t="shared" ca="1" si="133"/>
        <v>#N/A</v>
      </c>
      <c r="AR112" s="8" t="e">
        <f t="shared" ca="1" si="134"/>
        <v>#N/A</v>
      </c>
      <c r="AS112" s="8" t="e">
        <f t="shared" ca="1" si="135"/>
        <v>#N/A</v>
      </c>
      <c r="AT112" s="8" t="e">
        <f t="shared" ca="1" si="136"/>
        <v>#N/A</v>
      </c>
      <c r="AU112" s="8" t="e">
        <f t="shared" si="110"/>
        <v>#N/A</v>
      </c>
      <c r="AV112" s="8" t="e">
        <f t="shared" ca="1" si="137"/>
        <v>#N/A</v>
      </c>
      <c r="AX112" s="7" t="str">
        <f t="shared" si="166"/>
        <v/>
      </c>
      <c r="AY112" s="2" t="str">
        <f t="shared" si="167"/>
        <v/>
      </c>
      <c r="BA112" s="2">
        <v>104</v>
      </c>
      <c r="BB112">
        <f t="shared" ca="1" si="168"/>
        <v>3</v>
      </c>
      <c r="BC112" s="14" t="str">
        <f t="shared" si="169"/>
        <v/>
      </c>
      <c r="BD112" s="5" t="e">
        <f t="shared" si="148"/>
        <v>#N/A</v>
      </c>
      <c r="BE112" s="5" t="e">
        <f t="shared" si="149"/>
        <v>#N/A</v>
      </c>
      <c r="BF112" s="5" t="e">
        <f t="shared" si="150"/>
        <v>#N/A</v>
      </c>
      <c r="BG112" s="5" t="e">
        <f t="shared" si="151"/>
        <v>#N/A</v>
      </c>
      <c r="BH112" s="5" t="e">
        <f t="shared" si="152"/>
        <v>#N/A</v>
      </c>
      <c r="BI112">
        <f t="shared" ca="1" si="170"/>
        <v>1</v>
      </c>
      <c r="BJ112" s="158" t="e">
        <f t="shared" si="171"/>
        <v>#N/A</v>
      </c>
      <c r="BK112" s="158" t="e">
        <f t="shared" si="172"/>
        <v>#N/A</v>
      </c>
      <c r="BL112" s="158" t="e">
        <f t="shared" si="173"/>
        <v>#N/A</v>
      </c>
      <c r="BM112" s="158" t="e">
        <f t="shared" si="174"/>
        <v>#N/A</v>
      </c>
      <c r="BN112" s="19"/>
      <c r="BQ112" s="4">
        <v>104</v>
      </c>
      <c r="BR112" s="4" t="e">
        <f t="shared" si="138"/>
        <v>#N/A</v>
      </c>
      <c r="BS112" s="4" t="e">
        <f t="shared" si="139"/>
        <v>#N/A</v>
      </c>
      <c r="BT112" s="4" t="e">
        <f t="shared" si="140"/>
        <v>#N/A</v>
      </c>
      <c r="BV112" s="4">
        <v>104</v>
      </c>
      <c r="BW112" s="4" t="e">
        <f t="shared" si="141"/>
        <v>#N/A</v>
      </c>
      <c r="BX112" s="4" t="e">
        <f t="shared" si="142"/>
        <v>#N/A</v>
      </c>
      <c r="BZ112" s="4">
        <v>104</v>
      </c>
      <c r="CA112" s="4" t="e">
        <f t="shared" si="143"/>
        <v>#N/A</v>
      </c>
      <c r="CB112" s="4" t="e">
        <f t="shared" si="144"/>
        <v>#N/A</v>
      </c>
      <c r="CC112" s="4" t="e">
        <f t="shared" si="145"/>
        <v>#N/A</v>
      </c>
      <c r="CD112" s="4" t="e">
        <f t="shared" si="146"/>
        <v>#N/A</v>
      </c>
      <c r="CG112" s="4">
        <v>104</v>
      </c>
      <c r="CH112" s="4" t="e">
        <f t="shared" si="175"/>
        <v>#N/A</v>
      </c>
      <c r="CI112" s="4" t="e">
        <f t="shared" si="176"/>
        <v>#N/A</v>
      </c>
      <c r="CJ112" s="4" t="e">
        <f t="shared" si="177"/>
        <v>#N/A</v>
      </c>
      <c r="CL112">
        <f t="shared" si="153"/>
        <v>0</v>
      </c>
      <c r="CM112">
        <f t="shared" si="154"/>
        <v>0</v>
      </c>
    </row>
    <row r="113" spans="2:91" ht="15.75" thickBot="1" x14ac:dyDescent="0.3">
      <c r="B113">
        <f t="shared" si="155"/>
        <v>0</v>
      </c>
      <c r="C113" s="13">
        <v>105</v>
      </c>
      <c r="D113" s="12" t="str">
        <f>IF('Front sheet'!L30="","",'Front sheet'!$L30)</f>
        <v/>
      </c>
      <c r="E113" s="149" t="e">
        <f>IF('Front sheet'!N30="",NA(),'Front sheet'!N30)</f>
        <v>#N/A</v>
      </c>
      <c r="F113" s="197" t="e">
        <f>IF('Front sheet'!N30="",NA(),'Front sheet'!M30/'Front sheet'!N30)</f>
        <v>#N/A</v>
      </c>
      <c r="G113" s="207">
        <f t="shared" ca="1" si="156"/>
        <v>0.87525423728813556</v>
      </c>
      <c r="H113" s="202" t="e">
        <f t="shared" ca="1" si="123"/>
        <v>#N/A</v>
      </c>
      <c r="I113" s="193" t="e">
        <f t="shared" ca="1" si="124"/>
        <v>#N/A</v>
      </c>
      <c r="J113" s="153" t="e">
        <f>IF('Front sheet'!N30="",NA(),'Front sheet'!M30)</f>
        <v>#N/A</v>
      </c>
      <c r="K113" s="10" t="str">
        <f t="shared" si="157"/>
        <v/>
      </c>
      <c r="L113" s="9" t="e">
        <f t="shared" ca="1" si="158"/>
        <v>#N/A</v>
      </c>
      <c r="M113" s="8" t="e">
        <f t="shared" ca="1" si="159"/>
        <v>#N/A</v>
      </c>
      <c r="N113" t="e">
        <f t="shared" ca="1" si="160"/>
        <v>#N/A</v>
      </c>
      <c r="O113" s="8" t="e">
        <f t="shared" ca="1" si="147"/>
        <v>#N/A</v>
      </c>
      <c r="P113" t="e">
        <f t="shared" ca="1" si="161"/>
        <v>#N/A</v>
      </c>
      <c r="Q113" s="8">
        <f>IF(ISERROR($F113),0,IF($F113&gt;$H113,MAX($Q$8:Q112)+1,0))</f>
        <v>0</v>
      </c>
      <c r="R113" s="8">
        <f>IF(ISERROR($F113),0,IF($F113&lt;$I113,MAX($R$8:R112)+1,0))</f>
        <v>0</v>
      </c>
      <c r="T113" s="8">
        <f t="shared" si="162"/>
        <v>0</v>
      </c>
      <c r="U113" s="8">
        <f t="shared" ca="1" si="125"/>
        <v>0</v>
      </c>
      <c r="W113" s="8">
        <f t="shared" si="163"/>
        <v>0</v>
      </c>
      <c r="X113" s="8">
        <f t="shared" ca="1" si="126"/>
        <v>0</v>
      </c>
      <c r="Z113" s="8">
        <f t="shared" si="164"/>
        <v>0</v>
      </c>
      <c r="AA113" s="8">
        <f t="shared" si="127"/>
        <v>0</v>
      </c>
      <c r="AC113" s="8">
        <f t="shared" si="165"/>
        <v>0</v>
      </c>
      <c r="AD113" s="8">
        <f t="shared" si="128"/>
        <v>0</v>
      </c>
      <c r="AF113" s="8">
        <f t="shared" si="129"/>
        <v>0</v>
      </c>
      <c r="AG113" s="8">
        <f t="shared" si="130"/>
        <v>0</v>
      </c>
      <c r="AH113" s="8">
        <f t="shared" si="131"/>
        <v>0</v>
      </c>
      <c r="AI113" s="8">
        <f t="shared" si="132"/>
        <v>0</v>
      </c>
      <c r="AK113" s="11" t="e">
        <f t="shared" si="109"/>
        <v>#N/A</v>
      </c>
      <c r="AL113" s="8"/>
      <c r="AN113" s="8"/>
      <c r="AO113" s="8"/>
      <c r="AP113" s="8" t="e">
        <f>IF(C113&lt;=$E$3,IF(OR('Front sheet'!$Q$3="",'Front sheet'!$Q$3=0),NA(),'Front sheet'!$Q$3),NA())</f>
        <v>#N/A</v>
      </c>
      <c r="AQ113" s="8" t="e">
        <f t="shared" ca="1" si="133"/>
        <v>#N/A</v>
      </c>
      <c r="AR113" s="8" t="e">
        <f t="shared" ca="1" si="134"/>
        <v>#N/A</v>
      </c>
      <c r="AS113" s="8" t="e">
        <f t="shared" ca="1" si="135"/>
        <v>#N/A</v>
      </c>
      <c r="AT113" s="8" t="e">
        <f t="shared" ca="1" si="136"/>
        <v>#N/A</v>
      </c>
      <c r="AU113" s="8" t="e">
        <f t="shared" si="110"/>
        <v>#N/A</v>
      </c>
      <c r="AV113" s="8" t="e">
        <f t="shared" ca="1" si="137"/>
        <v>#N/A</v>
      </c>
      <c r="AX113" s="7" t="str">
        <f t="shared" si="166"/>
        <v/>
      </c>
      <c r="AY113" s="2" t="str">
        <f t="shared" si="167"/>
        <v/>
      </c>
      <c r="BA113" s="2">
        <v>105</v>
      </c>
      <c r="BB113">
        <f t="shared" ca="1" si="168"/>
        <v>3</v>
      </c>
      <c r="BC113" s="14" t="str">
        <f t="shared" si="169"/>
        <v/>
      </c>
      <c r="BD113" s="5" t="e">
        <f t="shared" si="148"/>
        <v>#N/A</v>
      </c>
      <c r="BE113" s="5" t="e">
        <f t="shared" si="149"/>
        <v>#N/A</v>
      </c>
      <c r="BF113" s="5" t="e">
        <f t="shared" si="150"/>
        <v>#N/A</v>
      </c>
      <c r="BG113" s="5" t="e">
        <f t="shared" si="151"/>
        <v>#N/A</v>
      </c>
      <c r="BH113" s="5" t="e">
        <f t="shared" si="152"/>
        <v>#N/A</v>
      </c>
      <c r="BI113">
        <f t="shared" ca="1" si="170"/>
        <v>1</v>
      </c>
      <c r="BJ113" s="158" t="e">
        <f t="shared" si="171"/>
        <v>#N/A</v>
      </c>
      <c r="BK113" s="158" t="e">
        <f t="shared" si="172"/>
        <v>#N/A</v>
      </c>
      <c r="BL113" s="158" t="e">
        <f t="shared" si="173"/>
        <v>#N/A</v>
      </c>
      <c r="BM113" s="158" t="e">
        <f t="shared" si="174"/>
        <v>#N/A</v>
      </c>
      <c r="BN113" s="19"/>
      <c r="BQ113" s="4">
        <v>105</v>
      </c>
      <c r="BR113" s="4" t="e">
        <f t="shared" si="138"/>
        <v>#N/A</v>
      </c>
      <c r="BS113" s="4" t="e">
        <f t="shared" si="139"/>
        <v>#N/A</v>
      </c>
      <c r="BT113" s="4" t="e">
        <f t="shared" si="140"/>
        <v>#N/A</v>
      </c>
      <c r="BV113" s="4">
        <v>105</v>
      </c>
      <c r="BW113" s="4" t="e">
        <f t="shared" si="141"/>
        <v>#N/A</v>
      </c>
      <c r="BX113" s="4" t="e">
        <f t="shared" si="142"/>
        <v>#N/A</v>
      </c>
      <c r="BZ113" s="4">
        <v>105</v>
      </c>
      <c r="CA113" s="4" t="e">
        <f t="shared" si="143"/>
        <v>#N/A</v>
      </c>
      <c r="CB113" s="4" t="e">
        <f t="shared" si="144"/>
        <v>#N/A</v>
      </c>
      <c r="CC113" s="4" t="e">
        <f t="shared" si="145"/>
        <v>#N/A</v>
      </c>
      <c r="CD113" s="4" t="e">
        <f t="shared" si="146"/>
        <v>#N/A</v>
      </c>
      <c r="CG113" s="4">
        <v>105</v>
      </c>
      <c r="CH113" s="4" t="e">
        <f t="shared" si="175"/>
        <v>#N/A</v>
      </c>
      <c r="CI113" s="4" t="e">
        <f t="shared" si="176"/>
        <v>#N/A</v>
      </c>
      <c r="CJ113" s="4" t="e">
        <f t="shared" si="177"/>
        <v>#N/A</v>
      </c>
      <c r="CL113">
        <f t="shared" si="153"/>
        <v>0</v>
      </c>
      <c r="CM113">
        <f t="shared" si="154"/>
        <v>0</v>
      </c>
    </row>
    <row r="114" spans="2:91" ht="15.75" thickBot="1" x14ac:dyDescent="0.3">
      <c r="B114">
        <f t="shared" si="155"/>
        <v>0</v>
      </c>
      <c r="C114" s="18">
        <v>106</v>
      </c>
      <c r="D114" s="17" t="str">
        <f>IF('Front sheet'!L31="","",'Front sheet'!$L31)</f>
        <v/>
      </c>
      <c r="E114" s="149" t="e">
        <f>IF('Front sheet'!N31="",NA(),'Front sheet'!N31)</f>
        <v>#N/A</v>
      </c>
      <c r="F114" s="195" t="e">
        <f>IF('Front sheet'!N31="",NA(),'Front sheet'!M31/'Front sheet'!N31)</f>
        <v>#N/A</v>
      </c>
      <c r="G114" s="206">
        <f t="shared" ca="1" si="156"/>
        <v>0.87525423728813556</v>
      </c>
      <c r="H114" s="200" t="e">
        <f t="shared" ca="1" si="123"/>
        <v>#N/A</v>
      </c>
      <c r="I114" s="192" t="e">
        <f t="shared" ca="1" si="124"/>
        <v>#N/A</v>
      </c>
      <c r="J114" s="150" t="e">
        <f>IF('Front sheet'!N31="",NA(),'Front sheet'!M31)</f>
        <v>#N/A</v>
      </c>
      <c r="K114" s="10" t="str">
        <f t="shared" si="157"/>
        <v/>
      </c>
      <c r="L114" s="9" t="e">
        <f t="shared" ca="1" si="158"/>
        <v>#N/A</v>
      </c>
      <c r="M114" s="8" t="e">
        <f t="shared" ca="1" si="159"/>
        <v>#N/A</v>
      </c>
      <c r="N114" t="e">
        <f t="shared" ca="1" si="160"/>
        <v>#N/A</v>
      </c>
      <c r="O114" s="8" t="e">
        <f t="shared" ca="1" si="147"/>
        <v>#N/A</v>
      </c>
      <c r="P114" t="e">
        <f t="shared" ca="1" si="161"/>
        <v>#N/A</v>
      </c>
      <c r="Q114" s="8">
        <f>IF(ISERROR($F114),0,IF($F114&gt;$H114,MAX($Q$8:Q113)+1,0))</f>
        <v>0</v>
      </c>
      <c r="R114" s="8">
        <f>IF(ISERROR($F114),0,IF($F114&lt;$I114,MAX($R$8:R113)+1,0))</f>
        <v>0</v>
      </c>
      <c r="T114" s="8">
        <f t="shared" si="162"/>
        <v>0</v>
      </c>
      <c r="U114" s="8">
        <f t="shared" ca="1" si="125"/>
        <v>0</v>
      </c>
      <c r="W114" s="8">
        <f t="shared" si="163"/>
        <v>0</v>
      </c>
      <c r="X114" s="8">
        <f t="shared" ca="1" si="126"/>
        <v>0</v>
      </c>
      <c r="Z114" s="8">
        <f t="shared" si="164"/>
        <v>0</v>
      </c>
      <c r="AA114" s="8">
        <f t="shared" ref="AA114:AA120" si="178">IF(AND(AA113&gt;0,Z114&gt;0),1,IF(SUM(Z115:Z120)&gt;=6,1,IF(MOD(SUM(Z115:Z120),1)&gt;0,IF(SUM(Z115:Z121)&gt;=6,1,0),0)))</f>
        <v>0</v>
      </c>
      <c r="AC114" s="8">
        <f t="shared" si="165"/>
        <v>0</v>
      </c>
      <c r="AD114" s="8">
        <f t="shared" ref="AD114:AD120" si="179">IF(AND(AD113&gt;0,AC114&gt;0),1,IF(SUM(AC115:AC120)&gt;=6,1,IF(MOD(SUM(AC115:AC120),1)&gt;0,IF(SUM(AC115:AC121)&gt;=6,1,0),0)))</f>
        <v>0</v>
      </c>
      <c r="AF114" s="8">
        <f t="shared" si="129"/>
        <v>0</v>
      </c>
      <c r="AG114" s="8">
        <f t="shared" si="130"/>
        <v>0</v>
      </c>
      <c r="AH114" s="8">
        <f t="shared" si="131"/>
        <v>0</v>
      </c>
      <c r="AI114" s="8">
        <f t="shared" si="132"/>
        <v>0</v>
      </c>
      <c r="AK114" s="11" t="e">
        <f t="shared" si="109"/>
        <v>#N/A</v>
      </c>
      <c r="AL114" s="8"/>
      <c r="AN114" s="8"/>
      <c r="AO114" s="8"/>
      <c r="AP114" s="8" t="e">
        <f>IF(C114&lt;=$E$3,IF(OR('Front sheet'!$Q$3="",'Front sheet'!$Q$3=0),NA(),'Front sheet'!$Q$3),NA())</f>
        <v>#N/A</v>
      </c>
      <c r="AQ114" s="8" t="e">
        <f t="shared" ca="1" si="133"/>
        <v>#N/A</v>
      </c>
      <c r="AR114" s="8" t="e">
        <f t="shared" ca="1" si="134"/>
        <v>#N/A</v>
      </c>
      <c r="AS114" s="8" t="e">
        <f t="shared" ca="1" si="135"/>
        <v>#N/A</v>
      </c>
      <c r="AT114" s="8" t="e">
        <f t="shared" ca="1" si="136"/>
        <v>#N/A</v>
      </c>
      <c r="AU114" s="8" t="e">
        <f t="shared" si="110"/>
        <v>#N/A</v>
      </c>
      <c r="AV114" s="8" t="e">
        <f t="shared" ca="1" si="137"/>
        <v>#N/A</v>
      </c>
      <c r="AX114" s="7" t="str">
        <f t="shared" si="166"/>
        <v/>
      </c>
      <c r="AY114" s="2" t="str">
        <f t="shared" si="167"/>
        <v/>
      </c>
      <c r="BA114" s="2">
        <v>106</v>
      </c>
      <c r="BB114">
        <f t="shared" ca="1" si="168"/>
        <v>3</v>
      </c>
      <c r="BC114" s="14" t="str">
        <f t="shared" si="169"/>
        <v/>
      </c>
      <c r="BD114" s="5" t="e">
        <f t="shared" si="148"/>
        <v>#N/A</v>
      </c>
      <c r="BE114" s="5" t="e">
        <f t="shared" si="149"/>
        <v>#N/A</v>
      </c>
      <c r="BF114" s="5" t="e">
        <f t="shared" si="150"/>
        <v>#N/A</v>
      </c>
      <c r="BG114" s="5" t="e">
        <f t="shared" si="151"/>
        <v>#N/A</v>
      </c>
      <c r="BH114" s="5" t="e">
        <f t="shared" si="152"/>
        <v>#N/A</v>
      </c>
      <c r="BI114">
        <f t="shared" ca="1" si="170"/>
        <v>1</v>
      </c>
      <c r="BJ114" s="158" t="e">
        <f t="shared" si="171"/>
        <v>#N/A</v>
      </c>
      <c r="BK114" s="158" t="e">
        <f t="shared" si="172"/>
        <v>#N/A</v>
      </c>
      <c r="BL114" s="158" t="e">
        <f t="shared" si="173"/>
        <v>#N/A</v>
      </c>
      <c r="BM114" s="158" t="e">
        <f t="shared" si="174"/>
        <v>#N/A</v>
      </c>
      <c r="BN114" s="19"/>
      <c r="BQ114" s="4">
        <v>106</v>
      </c>
      <c r="BR114" s="4" t="e">
        <f t="shared" si="138"/>
        <v>#N/A</v>
      </c>
      <c r="BS114" s="4" t="e">
        <f t="shared" si="139"/>
        <v>#N/A</v>
      </c>
      <c r="BT114" s="4" t="e">
        <f t="shared" si="140"/>
        <v>#N/A</v>
      </c>
      <c r="BV114" s="4">
        <v>106</v>
      </c>
      <c r="BW114" s="4" t="e">
        <f t="shared" si="141"/>
        <v>#N/A</v>
      </c>
      <c r="BX114" s="4" t="e">
        <f t="shared" si="142"/>
        <v>#N/A</v>
      </c>
      <c r="BZ114" s="4">
        <v>106</v>
      </c>
      <c r="CA114" s="4" t="e">
        <f t="shared" si="143"/>
        <v>#N/A</v>
      </c>
      <c r="CB114" s="4" t="e">
        <f t="shared" si="144"/>
        <v>#N/A</v>
      </c>
      <c r="CC114" s="4" t="e">
        <f t="shared" si="145"/>
        <v>#N/A</v>
      </c>
      <c r="CD114" s="4" t="e">
        <f t="shared" si="146"/>
        <v>#N/A</v>
      </c>
      <c r="CG114" s="4">
        <v>106</v>
      </c>
      <c r="CH114" s="4" t="e">
        <f t="shared" si="175"/>
        <v>#N/A</v>
      </c>
      <c r="CI114" s="4" t="e">
        <f t="shared" si="176"/>
        <v>#N/A</v>
      </c>
      <c r="CJ114" s="4" t="e">
        <f t="shared" si="177"/>
        <v>#N/A</v>
      </c>
      <c r="CL114">
        <f t="shared" si="153"/>
        <v>0</v>
      </c>
      <c r="CM114">
        <f t="shared" si="154"/>
        <v>0</v>
      </c>
    </row>
    <row r="115" spans="2:91" ht="15.75" thickBot="1" x14ac:dyDescent="0.3">
      <c r="B115">
        <f t="shared" si="155"/>
        <v>0</v>
      </c>
      <c r="C115" s="16">
        <v>107</v>
      </c>
      <c r="D115" s="15" t="str">
        <f>IF('Front sheet'!L32="","",'Front sheet'!$L32)</f>
        <v/>
      </c>
      <c r="E115" s="149" t="e">
        <f>IF('Front sheet'!N32="",NA(),'Front sheet'!N32)</f>
        <v>#N/A</v>
      </c>
      <c r="F115" s="196" t="e">
        <f>IF('Front sheet'!N32="",NA(),'Front sheet'!M32/'Front sheet'!N32)</f>
        <v>#N/A</v>
      </c>
      <c r="G115" s="205">
        <f t="shared" ca="1" si="156"/>
        <v>0.87525423728813556</v>
      </c>
      <c r="H115" s="201" t="e">
        <f t="shared" ca="1" si="123"/>
        <v>#N/A</v>
      </c>
      <c r="I115" s="157" t="e">
        <f t="shared" ca="1" si="124"/>
        <v>#N/A</v>
      </c>
      <c r="J115" s="151" t="e">
        <f>IF('Front sheet'!N32="",NA(),'Front sheet'!M32)</f>
        <v>#N/A</v>
      </c>
      <c r="K115" s="10" t="str">
        <f t="shared" si="157"/>
        <v/>
      </c>
      <c r="L115" s="9" t="e">
        <f t="shared" ca="1" si="158"/>
        <v>#N/A</v>
      </c>
      <c r="M115" s="8" t="e">
        <f t="shared" ca="1" si="159"/>
        <v>#N/A</v>
      </c>
      <c r="N115" t="e">
        <f t="shared" ca="1" si="160"/>
        <v>#N/A</v>
      </c>
      <c r="O115" s="8" t="e">
        <f t="shared" ca="1" si="147"/>
        <v>#N/A</v>
      </c>
      <c r="P115" t="e">
        <f t="shared" ca="1" si="161"/>
        <v>#N/A</v>
      </c>
      <c r="Q115" s="8">
        <f>IF(ISERROR($F115),0,IF($F115&gt;$H115,MAX($Q$8:Q114)+1,0))</f>
        <v>0</v>
      </c>
      <c r="R115" s="8">
        <f>IF(ISERROR($F115),0,IF($F115&lt;$I115,MAX($R$8:R114)+1,0))</f>
        <v>0</v>
      </c>
      <c r="T115" s="8">
        <f t="shared" si="162"/>
        <v>0</v>
      </c>
      <c r="U115" s="8">
        <f t="shared" ref="U115:U120" ca="1" si="180">IF(AND(U114=1,T115=1),1,IF(SUM(T115:T121)&gt;=7,1,0))</f>
        <v>0</v>
      </c>
      <c r="W115" s="8">
        <f t="shared" si="163"/>
        <v>0</v>
      </c>
      <c r="X115" s="8">
        <f t="shared" ref="X115:X120" ca="1" si="181">IF(AND(X114=1,W115=1),1,IF(SUM(W115:W121)&gt;=7,1,0))</f>
        <v>0</v>
      </c>
      <c r="Z115" s="8">
        <f t="shared" si="164"/>
        <v>0</v>
      </c>
      <c r="AA115" s="8">
        <f t="shared" si="178"/>
        <v>0</v>
      </c>
      <c r="AC115" s="8">
        <f t="shared" si="165"/>
        <v>0</v>
      </c>
      <c r="AD115" s="8">
        <f t="shared" si="179"/>
        <v>0</v>
      </c>
      <c r="AF115" s="8">
        <f t="shared" si="129"/>
        <v>0</v>
      </c>
      <c r="AG115" s="8">
        <f t="shared" si="130"/>
        <v>0</v>
      </c>
      <c r="AH115" s="8">
        <f t="shared" si="131"/>
        <v>0</v>
      </c>
      <c r="AI115" s="8">
        <f t="shared" si="132"/>
        <v>0</v>
      </c>
      <c r="AK115" s="11" t="e">
        <f t="shared" si="109"/>
        <v>#N/A</v>
      </c>
      <c r="AL115" s="8"/>
      <c r="AN115" s="8"/>
      <c r="AO115" s="8"/>
      <c r="AP115" s="8" t="e">
        <f>IF(C115&lt;=$E$3,IF(OR('Front sheet'!$Q$3="",'Front sheet'!$Q$3=0),NA(),'Front sheet'!$Q$3),NA())</f>
        <v>#N/A</v>
      </c>
      <c r="AQ115" s="8" t="e">
        <f t="shared" ca="1" si="133"/>
        <v>#N/A</v>
      </c>
      <c r="AR115" s="8" t="e">
        <f t="shared" ca="1" si="134"/>
        <v>#N/A</v>
      </c>
      <c r="AS115" s="8" t="e">
        <f t="shared" ca="1" si="135"/>
        <v>#N/A</v>
      </c>
      <c r="AT115" s="8" t="e">
        <f t="shared" ca="1" si="136"/>
        <v>#N/A</v>
      </c>
      <c r="AU115" s="8" t="e">
        <f t="shared" si="110"/>
        <v>#N/A</v>
      </c>
      <c r="AV115" s="8" t="e">
        <f t="shared" ca="1" si="137"/>
        <v>#N/A</v>
      </c>
      <c r="AX115" s="7" t="str">
        <f t="shared" si="166"/>
        <v/>
      </c>
      <c r="AY115" s="2" t="str">
        <f t="shared" si="167"/>
        <v/>
      </c>
      <c r="BA115" s="2">
        <v>107</v>
      </c>
      <c r="BB115">
        <f t="shared" ca="1" si="168"/>
        <v>3</v>
      </c>
      <c r="BC115" s="14" t="str">
        <f t="shared" si="169"/>
        <v/>
      </c>
      <c r="BD115" s="5" t="e">
        <f t="shared" si="148"/>
        <v>#N/A</v>
      </c>
      <c r="BE115" s="5" t="e">
        <f t="shared" si="149"/>
        <v>#N/A</v>
      </c>
      <c r="BF115" s="5" t="e">
        <f t="shared" si="150"/>
        <v>#N/A</v>
      </c>
      <c r="BG115" s="5" t="e">
        <f t="shared" si="151"/>
        <v>#N/A</v>
      </c>
      <c r="BH115" s="5" t="e">
        <f t="shared" si="152"/>
        <v>#N/A</v>
      </c>
      <c r="BI115">
        <f t="shared" ca="1" si="170"/>
        <v>1</v>
      </c>
      <c r="BJ115" s="158" t="e">
        <f t="shared" si="171"/>
        <v>#N/A</v>
      </c>
      <c r="BK115" s="158" t="e">
        <f t="shared" si="172"/>
        <v>#N/A</v>
      </c>
      <c r="BL115" s="158" t="e">
        <f t="shared" si="173"/>
        <v>#N/A</v>
      </c>
      <c r="BM115" s="158" t="e">
        <f t="shared" si="174"/>
        <v>#N/A</v>
      </c>
      <c r="BN115" s="19"/>
      <c r="BQ115" s="4">
        <v>107</v>
      </c>
      <c r="BR115" s="4" t="e">
        <f t="shared" si="138"/>
        <v>#N/A</v>
      </c>
      <c r="BS115" s="4" t="e">
        <f t="shared" si="139"/>
        <v>#N/A</v>
      </c>
      <c r="BT115" s="4" t="e">
        <f t="shared" si="140"/>
        <v>#N/A</v>
      </c>
      <c r="BV115" s="4">
        <v>107</v>
      </c>
      <c r="BW115" s="4" t="e">
        <f t="shared" si="141"/>
        <v>#N/A</v>
      </c>
      <c r="BX115" s="4" t="e">
        <f t="shared" si="142"/>
        <v>#N/A</v>
      </c>
      <c r="BZ115" s="4">
        <v>107</v>
      </c>
      <c r="CA115" s="4" t="e">
        <f t="shared" si="143"/>
        <v>#N/A</v>
      </c>
      <c r="CB115" s="4" t="e">
        <f t="shared" si="144"/>
        <v>#N/A</v>
      </c>
      <c r="CC115" s="4" t="e">
        <f t="shared" si="145"/>
        <v>#N/A</v>
      </c>
      <c r="CD115" s="4" t="e">
        <f t="shared" si="146"/>
        <v>#N/A</v>
      </c>
      <c r="CG115" s="4">
        <v>107</v>
      </c>
      <c r="CH115" s="4" t="e">
        <f t="shared" si="175"/>
        <v>#N/A</v>
      </c>
      <c r="CI115" s="4" t="e">
        <f t="shared" si="176"/>
        <v>#N/A</v>
      </c>
      <c r="CJ115" s="4" t="e">
        <f t="shared" si="177"/>
        <v>#N/A</v>
      </c>
      <c r="CL115">
        <f t="shared" si="153"/>
        <v>0</v>
      </c>
      <c r="CM115">
        <f t="shared" si="154"/>
        <v>0</v>
      </c>
    </row>
    <row r="116" spans="2:91" ht="15.75" thickBot="1" x14ac:dyDescent="0.3">
      <c r="B116">
        <f t="shared" si="155"/>
        <v>0</v>
      </c>
      <c r="C116" s="16">
        <v>108</v>
      </c>
      <c r="D116" s="15" t="str">
        <f>IF('Front sheet'!L33="","",'Front sheet'!$L33)</f>
        <v/>
      </c>
      <c r="E116" s="149" t="e">
        <f>IF('Front sheet'!N33="",NA(),'Front sheet'!N33)</f>
        <v>#N/A</v>
      </c>
      <c r="F116" s="196" t="e">
        <f>IF('Front sheet'!N33="",NA(),'Front sheet'!M33/'Front sheet'!N33)</f>
        <v>#N/A</v>
      </c>
      <c r="G116" s="205">
        <f t="shared" ca="1" si="156"/>
        <v>0.87525423728813556</v>
      </c>
      <c r="H116" s="201" t="e">
        <f t="shared" ca="1" si="123"/>
        <v>#N/A</v>
      </c>
      <c r="I116" s="157" t="e">
        <f t="shared" ca="1" si="124"/>
        <v>#N/A</v>
      </c>
      <c r="J116" s="151" t="e">
        <f>IF('Front sheet'!N33="",NA(),'Front sheet'!M33)</f>
        <v>#N/A</v>
      </c>
      <c r="K116" s="10" t="str">
        <f t="shared" si="157"/>
        <v/>
      </c>
      <c r="L116" s="9" t="e">
        <f t="shared" ca="1" si="158"/>
        <v>#N/A</v>
      </c>
      <c r="M116" s="8" t="e">
        <f t="shared" ca="1" si="159"/>
        <v>#N/A</v>
      </c>
      <c r="N116" t="e">
        <f t="shared" ca="1" si="160"/>
        <v>#N/A</v>
      </c>
      <c r="O116" s="8" t="e">
        <f t="shared" ca="1" si="147"/>
        <v>#N/A</v>
      </c>
      <c r="P116" t="e">
        <f t="shared" ca="1" si="161"/>
        <v>#N/A</v>
      </c>
      <c r="Q116" s="8">
        <f>IF(ISERROR($F116),0,IF($F116&gt;$H116,MAX($Q$8:Q115)+1,0))</f>
        <v>0</v>
      </c>
      <c r="R116" s="8">
        <f>IF(ISERROR($F116),0,IF($F116&lt;$I116,MAX($R$8:R115)+1,0))</f>
        <v>0</v>
      </c>
      <c r="T116" s="8">
        <f t="shared" si="162"/>
        <v>0</v>
      </c>
      <c r="U116" s="8">
        <f t="shared" ca="1" si="180"/>
        <v>0</v>
      </c>
      <c r="W116" s="8">
        <f t="shared" si="163"/>
        <v>0</v>
      </c>
      <c r="X116" s="8">
        <f t="shared" ca="1" si="181"/>
        <v>0</v>
      </c>
      <c r="Z116" s="8">
        <f t="shared" si="164"/>
        <v>0</v>
      </c>
      <c r="AA116" s="8">
        <f t="shared" si="178"/>
        <v>0</v>
      </c>
      <c r="AC116" s="8">
        <f t="shared" si="165"/>
        <v>0</v>
      </c>
      <c r="AD116" s="8">
        <f t="shared" si="179"/>
        <v>0</v>
      </c>
      <c r="AF116" s="8">
        <f t="shared" si="129"/>
        <v>0</v>
      </c>
      <c r="AG116" s="8">
        <f t="shared" si="130"/>
        <v>0</v>
      </c>
      <c r="AH116" s="8">
        <f t="shared" si="131"/>
        <v>0</v>
      </c>
      <c r="AI116" s="8">
        <f t="shared" si="132"/>
        <v>0</v>
      </c>
      <c r="AK116" s="11" t="e">
        <f t="shared" si="109"/>
        <v>#N/A</v>
      </c>
      <c r="AL116" s="8"/>
      <c r="AN116" s="8"/>
      <c r="AO116" s="8"/>
      <c r="AP116" s="8" t="e">
        <f>IF(C116&lt;=$E$3,IF(OR('Front sheet'!$Q$3="",'Front sheet'!$Q$3=0),NA(),'Front sheet'!$Q$3),NA())</f>
        <v>#N/A</v>
      </c>
      <c r="AQ116" s="8" t="e">
        <f t="shared" ca="1" si="133"/>
        <v>#N/A</v>
      </c>
      <c r="AR116" s="8" t="e">
        <f t="shared" ca="1" si="134"/>
        <v>#N/A</v>
      </c>
      <c r="AS116" s="8" t="e">
        <f t="shared" ca="1" si="135"/>
        <v>#N/A</v>
      </c>
      <c r="AT116" s="8" t="e">
        <f t="shared" ca="1" si="136"/>
        <v>#N/A</v>
      </c>
      <c r="AU116" s="8" t="e">
        <f t="shared" si="110"/>
        <v>#N/A</v>
      </c>
      <c r="AV116" s="8" t="e">
        <f t="shared" ca="1" si="137"/>
        <v>#N/A</v>
      </c>
      <c r="AX116" s="7" t="str">
        <f t="shared" si="166"/>
        <v/>
      </c>
      <c r="AY116" s="2" t="str">
        <f t="shared" si="167"/>
        <v/>
      </c>
      <c r="BA116" s="2">
        <v>108</v>
      </c>
      <c r="BB116">
        <f t="shared" ca="1" si="168"/>
        <v>3</v>
      </c>
      <c r="BC116" s="14" t="str">
        <f t="shared" si="169"/>
        <v/>
      </c>
      <c r="BD116" s="5" t="e">
        <f t="shared" si="148"/>
        <v>#N/A</v>
      </c>
      <c r="BE116" s="5" t="e">
        <f t="shared" si="149"/>
        <v>#N/A</v>
      </c>
      <c r="BF116" s="5" t="e">
        <f t="shared" si="150"/>
        <v>#N/A</v>
      </c>
      <c r="BG116" s="5" t="e">
        <f t="shared" si="151"/>
        <v>#N/A</v>
      </c>
      <c r="BH116" s="5" t="e">
        <f t="shared" si="152"/>
        <v>#N/A</v>
      </c>
      <c r="BI116">
        <f t="shared" ca="1" si="170"/>
        <v>1</v>
      </c>
      <c r="BJ116" s="158" t="e">
        <f t="shared" si="171"/>
        <v>#N/A</v>
      </c>
      <c r="BK116" s="158" t="e">
        <f t="shared" si="172"/>
        <v>#N/A</v>
      </c>
      <c r="BL116" s="158" t="e">
        <f t="shared" si="173"/>
        <v>#N/A</v>
      </c>
      <c r="BM116" s="158" t="e">
        <f t="shared" si="174"/>
        <v>#N/A</v>
      </c>
      <c r="BN116" s="19"/>
      <c r="BQ116" s="4">
        <v>108</v>
      </c>
      <c r="BR116" s="4" t="e">
        <f t="shared" si="138"/>
        <v>#N/A</v>
      </c>
      <c r="BS116" s="4" t="e">
        <f t="shared" si="139"/>
        <v>#N/A</v>
      </c>
      <c r="BT116" s="4" t="e">
        <f t="shared" si="140"/>
        <v>#N/A</v>
      </c>
      <c r="BV116" s="4">
        <v>108</v>
      </c>
      <c r="BW116" s="4" t="e">
        <f t="shared" si="141"/>
        <v>#N/A</v>
      </c>
      <c r="BX116" s="4" t="e">
        <f t="shared" si="142"/>
        <v>#N/A</v>
      </c>
      <c r="BZ116" s="4">
        <v>108</v>
      </c>
      <c r="CA116" s="4" t="e">
        <f t="shared" si="143"/>
        <v>#N/A</v>
      </c>
      <c r="CB116" s="4" t="e">
        <f t="shared" si="144"/>
        <v>#N/A</v>
      </c>
      <c r="CC116" s="4" t="e">
        <f t="shared" si="145"/>
        <v>#N/A</v>
      </c>
      <c r="CD116" s="4" t="e">
        <f t="shared" si="146"/>
        <v>#N/A</v>
      </c>
      <c r="CG116" s="4">
        <v>108</v>
      </c>
      <c r="CH116" s="4" t="e">
        <f t="shared" si="175"/>
        <v>#N/A</v>
      </c>
      <c r="CI116" s="4" t="e">
        <f t="shared" si="176"/>
        <v>#N/A</v>
      </c>
      <c r="CJ116" s="4" t="e">
        <f t="shared" si="177"/>
        <v>#N/A</v>
      </c>
      <c r="CL116">
        <f t="shared" si="153"/>
        <v>0</v>
      </c>
      <c r="CM116">
        <f t="shared" si="154"/>
        <v>0</v>
      </c>
    </row>
    <row r="117" spans="2:91" ht="15.75" thickBot="1" x14ac:dyDescent="0.3">
      <c r="B117">
        <f t="shared" si="155"/>
        <v>0</v>
      </c>
      <c r="C117" s="16">
        <v>109</v>
      </c>
      <c r="D117" s="15" t="str">
        <f>IF('Front sheet'!L34="","",'Front sheet'!$L34)</f>
        <v/>
      </c>
      <c r="E117" s="149" t="e">
        <f>IF('Front sheet'!N34="",NA(),'Front sheet'!N34)</f>
        <v>#N/A</v>
      </c>
      <c r="F117" s="196" t="e">
        <f>IF('Front sheet'!N34="",NA(),'Front sheet'!M34/'Front sheet'!N34)</f>
        <v>#N/A</v>
      </c>
      <c r="G117" s="205">
        <f t="shared" ca="1" si="156"/>
        <v>0.87525423728813556</v>
      </c>
      <c r="H117" s="201" t="e">
        <f t="shared" ca="1" si="123"/>
        <v>#N/A</v>
      </c>
      <c r="I117" s="157" t="e">
        <f t="shared" ca="1" si="124"/>
        <v>#N/A</v>
      </c>
      <c r="J117" s="151" t="e">
        <f>IF('Front sheet'!N34="",NA(),'Front sheet'!M34)</f>
        <v>#N/A</v>
      </c>
      <c r="K117" s="10" t="str">
        <f t="shared" si="157"/>
        <v/>
      </c>
      <c r="L117" s="9" t="e">
        <f t="shared" ca="1" si="158"/>
        <v>#N/A</v>
      </c>
      <c r="M117" s="8" t="e">
        <f t="shared" ca="1" si="159"/>
        <v>#N/A</v>
      </c>
      <c r="N117" t="e">
        <f t="shared" ca="1" si="160"/>
        <v>#N/A</v>
      </c>
      <c r="O117" s="8" t="e">
        <f t="shared" ca="1" si="147"/>
        <v>#N/A</v>
      </c>
      <c r="P117" t="e">
        <f t="shared" ca="1" si="161"/>
        <v>#N/A</v>
      </c>
      <c r="Q117" s="8">
        <f>IF(ISERROR($F117),0,IF($F117&gt;$H117,MAX($Q$8:Q116)+1,0))</f>
        <v>0</v>
      </c>
      <c r="R117" s="8">
        <f>IF(ISERROR($F117),0,IF($F117&lt;$I117,MAX($R$8:R116)+1,0))</f>
        <v>0</v>
      </c>
      <c r="T117" s="8">
        <f t="shared" si="162"/>
        <v>0</v>
      </c>
      <c r="U117" s="8">
        <f t="shared" ca="1" si="180"/>
        <v>0</v>
      </c>
      <c r="W117" s="8">
        <f t="shared" si="163"/>
        <v>0</v>
      </c>
      <c r="X117" s="8">
        <f t="shared" ca="1" si="181"/>
        <v>0</v>
      </c>
      <c r="Z117" s="8">
        <f t="shared" si="164"/>
        <v>0</v>
      </c>
      <c r="AA117" s="8">
        <f t="shared" si="178"/>
        <v>0</v>
      </c>
      <c r="AC117" s="8">
        <f t="shared" si="165"/>
        <v>0</v>
      </c>
      <c r="AD117" s="8">
        <f t="shared" si="179"/>
        <v>0</v>
      </c>
      <c r="AF117" s="8">
        <f t="shared" si="129"/>
        <v>0</v>
      </c>
      <c r="AG117" s="8">
        <f t="shared" si="130"/>
        <v>0</v>
      </c>
      <c r="AH117" s="8">
        <f t="shared" si="131"/>
        <v>0</v>
      </c>
      <c r="AI117" s="8">
        <f t="shared" si="132"/>
        <v>0</v>
      </c>
      <c r="AK117" s="11" t="e">
        <f t="shared" si="109"/>
        <v>#N/A</v>
      </c>
      <c r="AL117" s="8"/>
      <c r="AN117" s="8"/>
      <c r="AO117" s="8"/>
      <c r="AP117" s="8" t="e">
        <f>IF(C117&lt;=$E$3,IF(OR('Front sheet'!$Q$3="",'Front sheet'!$Q$3=0),NA(),'Front sheet'!$Q$3),NA())</f>
        <v>#N/A</v>
      </c>
      <c r="AQ117" s="8" t="e">
        <f t="shared" ca="1" si="133"/>
        <v>#N/A</v>
      </c>
      <c r="AR117" s="8" t="e">
        <f t="shared" ca="1" si="134"/>
        <v>#N/A</v>
      </c>
      <c r="AS117" s="8" t="e">
        <f t="shared" ca="1" si="135"/>
        <v>#N/A</v>
      </c>
      <c r="AT117" s="8" t="e">
        <f t="shared" ca="1" si="136"/>
        <v>#N/A</v>
      </c>
      <c r="AU117" s="8" t="e">
        <f t="shared" si="110"/>
        <v>#N/A</v>
      </c>
      <c r="AV117" s="8" t="e">
        <f t="shared" ca="1" si="137"/>
        <v>#N/A</v>
      </c>
      <c r="AX117" s="7" t="str">
        <f t="shared" si="166"/>
        <v/>
      </c>
      <c r="AY117" s="2" t="str">
        <f t="shared" si="167"/>
        <v/>
      </c>
      <c r="BA117" s="2">
        <v>109</v>
      </c>
      <c r="BB117">
        <f t="shared" ca="1" si="168"/>
        <v>3</v>
      </c>
      <c r="BC117" s="14" t="str">
        <f t="shared" si="169"/>
        <v/>
      </c>
      <c r="BD117" s="5" t="e">
        <f t="shared" si="148"/>
        <v>#N/A</v>
      </c>
      <c r="BE117" s="5" t="e">
        <f t="shared" si="149"/>
        <v>#N/A</v>
      </c>
      <c r="BF117" s="5" t="e">
        <f t="shared" si="150"/>
        <v>#N/A</v>
      </c>
      <c r="BG117" s="5" t="e">
        <f t="shared" si="151"/>
        <v>#N/A</v>
      </c>
      <c r="BH117" s="5" t="e">
        <f t="shared" si="152"/>
        <v>#N/A</v>
      </c>
      <c r="BI117">
        <f t="shared" ca="1" si="170"/>
        <v>1</v>
      </c>
      <c r="BJ117" s="158" t="e">
        <f t="shared" si="171"/>
        <v>#N/A</v>
      </c>
      <c r="BK117" s="158" t="e">
        <f t="shared" si="172"/>
        <v>#N/A</v>
      </c>
      <c r="BL117" s="158" t="e">
        <f t="shared" si="173"/>
        <v>#N/A</v>
      </c>
      <c r="BM117" s="158" t="e">
        <f t="shared" si="174"/>
        <v>#N/A</v>
      </c>
      <c r="BN117" s="19"/>
      <c r="BQ117" s="4">
        <v>109</v>
      </c>
      <c r="BR117" s="4" t="e">
        <f t="shared" si="138"/>
        <v>#N/A</v>
      </c>
      <c r="BS117" s="4" t="e">
        <f t="shared" si="139"/>
        <v>#N/A</v>
      </c>
      <c r="BT117" s="4" t="e">
        <f t="shared" si="140"/>
        <v>#N/A</v>
      </c>
      <c r="BV117" s="4">
        <v>109</v>
      </c>
      <c r="BW117" s="4" t="e">
        <f t="shared" si="141"/>
        <v>#N/A</v>
      </c>
      <c r="BX117" s="4" t="e">
        <f t="shared" si="142"/>
        <v>#N/A</v>
      </c>
      <c r="BZ117" s="4">
        <v>109</v>
      </c>
      <c r="CA117" s="4" t="e">
        <f t="shared" si="143"/>
        <v>#N/A</v>
      </c>
      <c r="CB117" s="4" t="e">
        <f t="shared" si="144"/>
        <v>#N/A</v>
      </c>
      <c r="CC117" s="4" t="e">
        <f t="shared" si="145"/>
        <v>#N/A</v>
      </c>
      <c r="CD117" s="4" t="e">
        <f t="shared" si="146"/>
        <v>#N/A</v>
      </c>
      <c r="CG117" s="4">
        <v>109</v>
      </c>
      <c r="CH117" s="4" t="e">
        <f t="shared" si="175"/>
        <v>#N/A</v>
      </c>
      <c r="CI117" s="4" t="e">
        <f t="shared" si="176"/>
        <v>#N/A</v>
      </c>
      <c r="CJ117" s="4" t="e">
        <f t="shared" si="177"/>
        <v>#N/A</v>
      </c>
      <c r="CL117">
        <f t="shared" si="153"/>
        <v>0</v>
      </c>
      <c r="CM117">
        <f t="shared" si="154"/>
        <v>0</v>
      </c>
    </row>
    <row r="118" spans="2:91" ht="15.75" thickBot="1" x14ac:dyDescent="0.3">
      <c r="B118">
        <f t="shared" si="155"/>
        <v>0</v>
      </c>
      <c r="C118" s="16">
        <v>110</v>
      </c>
      <c r="D118" s="15" t="str">
        <f>IF('Front sheet'!L35="","",'Front sheet'!$L35)</f>
        <v/>
      </c>
      <c r="E118" s="149" t="e">
        <f>IF('Front sheet'!N35="",NA(),'Front sheet'!N35)</f>
        <v>#N/A</v>
      </c>
      <c r="F118" s="196" t="e">
        <f>IF('Front sheet'!N35="",NA(),'Front sheet'!M35/'Front sheet'!N35)</f>
        <v>#N/A</v>
      </c>
      <c r="G118" s="205">
        <f t="shared" ca="1" si="156"/>
        <v>0.87525423728813556</v>
      </c>
      <c r="H118" s="201" t="e">
        <f t="shared" ca="1" si="123"/>
        <v>#N/A</v>
      </c>
      <c r="I118" s="157" t="e">
        <f t="shared" ca="1" si="124"/>
        <v>#N/A</v>
      </c>
      <c r="J118" s="151" t="e">
        <f>IF('Front sheet'!N35="",NA(),'Front sheet'!M35)</f>
        <v>#N/A</v>
      </c>
      <c r="K118" s="10" t="str">
        <f t="shared" si="157"/>
        <v/>
      </c>
      <c r="L118" s="9" t="e">
        <f t="shared" ca="1" si="158"/>
        <v>#N/A</v>
      </c>
      <c r="M118" s="8" t="e">
        <f t="shared" ca="1" si="159"/>
        <v>#N/A</v>
      </c>
      <c r="N118" t="e">
        <f t="shared" ca="1" si="160"/>
        <v>#N/A</v>
      </c>
      <c r="O118" s="8" t="e">
        <f t="shared" ca="1" si="147"/>
        <v>#N/A</v>
      </c>
      <c r="P118" t="e">
        <f t="shared" ca="1" si="161"/>
        <v>#N/A</v>
      </c>
      <c r="Q118" s="8">
        <f>IF(ISERROR($F118),0,IF($F118&gt;$H118,MAX($Q$8:Q117)+1,0))</f>
        <v>0</v>
      </c>
      <c r="R118" s="8">
        <f>IF(ISERROR($F118),0,IF($F118&lt;$I118,MAX($R$8:R117)+1,0))</f>
        <v>0</v>
      </c>
      <c r="T118" s="8">
        <f t="shared" si="162"/>
        <v>0</v>
      </c>
      <c r="U118" s="8">
        <f t="shared" ca="1" si="180"/>
        <v>0</v>
      </c>
      <c r="W118" s="8">
        <f t="shared" si="163"/>
        <v>0</v>
      </c>
      <c r="X118" s="8">
        <f t="shared" ca="1" si="181"/>
        <v>0</v>
      </c>
      <c r="Z118" s="8">
        <f t="shared" si="164"/>
        <v>0</v>
      </c>
      <c r="AA118" s="8">
        <f t="shared" si="178"/>
        <v>0</v>
      </c>
      <c r="AC118" s="8">
        <f t="shared" si="165"/>
        <v>0</v>
      </c>
      <c r="AD118" s="8">
        <f t="shared" si="179"/>
        <v>0</v>
      </c>
      <c r="AF118" s="8">
        <f t="shared" si="129"/>
        <v>0</v>
      </c>
      <c r="AG118" s="8">
        <f t="shared" si="130"/>
        <v>0</v>
      </c>
      <c r="AH118" s="8">
        <f t="shared" si="131"/>
        <v>0</v>
      </c>
      <c r="AI118" s="8">
        <f t="shared" si="132"/>
        <v>0</v>
      </c>
      <c r="AK118" s="11" t="e">
        <f t="shared" si="109"/>
        <v>#N/A</v>
      </c>
      <c r="AL118" s="8"/>
      <c r="AN118" s="8"/>
      <c r="AO118" s="8"/>
      <c r="AP118" s="8" t="e">
        <f>IF(C118&lt;=$E$3,IF(OR('Front sheet'!$Q$3="",'Front sheet'!$Q$3=0),NA(),'Front sheet'!$Q$3),NA())</f>
        <v>#N/A</v>
      </c>
      <c r="AQ118" s="8" t="e">
        <f t="shared" ca="1" si="133"/>
        <v>#N/A</v>
      </c>
      <c r="AR118" s="8" t="e">
        <f t="shared" ca="1" si="134"/>
        <v>#N/A</v>
      </c>
      <c r="AS118" s="8" t="e">
        <f t="shared" ca="1" si="135"/>
        <v>#N/A</v>
      </c>
      <c r="AT118" s="8" t="e">
        <f t="shared" ca="1" si="136"/>
        <v>#N/A</v>
      </c>
      <c r="AU118" s="8" t="e">
        <f t="shared" si="110"/>
        <v>#N/A</v>
      </c>
      <c r="AV118" s="8" t="e">
        <f t="shared" ca="1" si="137"/>
        <v>#N/A</v>
      </c>
      <c r="AX118" s="7" t="str">
        <f t="shared" si="166"/>
        <v/>
      </c>
      <c r="AY118" s="2" t="str">
        <f t="shared" si="167"/>
        <v/>
      </c>
      <c r="BA118" s="2">
        <v>110</v>
      </c>
      <c r="BB118">
        <f t="shared" ca="1" si="168"/>
        <v>3</v>
      </c>
      <c r="BC118" s="14" t="str">
        <f t="shared" si="169"/>
        <v/>
      </c>
      <c r="BD118" s="5" t="e">
        <f t="shared" si="148"/>
        <v>#N/A</v>
      </c>
      <c r="BE118" s="5" t="e">
        <f t="shared" si="149"/>
        <v>#N/A</v>
      </c>
      <c r="BF118" s="5" t="e">
        <f t="shared" si="150"/>
        <v>#N/A</v>
      </c>
      <c r="BG118" s="5" t="e">
        <f t="shared" si="151"/>
        <v>#N/A</v>
      </c>
      <c r="BH118" s="5" t="e">
        <f t="shared" si="152"/>
        <v>#N/A</v>
      </c>
      <c r="BI118">
        <f t="shared" ca="1" si="170"/>
        <v>1</v>
      </c>
      <c r="BJ118" s="158" t="e">
        <f t="shared" si="171"/>
        <v>#N/A</v>
      </c>
      <c r="BK118" s="158" t="e">
        <f t="shared" si="172"/>
        <v>#N/A</v>
      </c>
      <c r="BL118" s="158" t="e">
        <f t="shared" si="173"/>
        <v>#N/A</v>
      </c>
      <c r="BM118" s="158" t="e">
        <f t="shared" si="174"/>
        <v>#N/A</v>
      </c>
      <c r="BN118" s="19"/>
      <c r="BQ118" s="4">
        <v>110</v>
      </c>
      <c r="BR118" s="4" t="e">
        <f t="shared" si="138"/>
        <v>#N/A</v>
      </c>
      <c r="BS118" s="4" t="e">
        <f t="shared" si="139"/>
        <v>#N/A</v>
      </c>
      <c r="BT118" s="4" t="e">
        <f t="shared" si="140"/>
        <v>#N/A</v>
      </c>
      <c r="BV118" s="4">
        <v>110</v>
      </c>
      <c r="BW118" s="4" t="e">
        <f t="shared" si="141"/>
        <v>#N/A</v>
      </c>
      <c r="BX118" s="4" t="e">
        <f t="shared" si="142"/>
        <v>#N/A</v>
      </c>
      <c r="BZ118" s="4">
        <v>110</v>
      </c>
      <c r="CA118" s="4" t="e">
        <f t="shared" si="143"/>
        <v>#N/A</v>
      </c>
      <c r="CB118" s="4" t="e">
        <f t="shared" si="144"/>
        <v>#N/A</v>
      </c>
      <c r="CC118" s="4" t="e">
        <f t="shared" si="145"/>
        <v>#N/A</v>
      </c>
      <c r="CD118" s="4" t="e">
        <f t="shared" si="146"/>
        <v>#N/A</v>
      </c>
      <c r="CG118" s="4">
        <v>110</v>
      </c>
      <c r="CH118" s="4" t="e">
        <f t="shared" si="175"/>
        <v>#N/A</v>
      </c>
      <c r="CI118" s="4" t="e">
        <f t="shared" si="176"/>
        <v>#N/A</v>
      </c>
      <c r="CJ118" s="4" t="e">
        <f t="shared" si="177"/>
        <v>#N/A</v>
      </c>
      <c r="CL118">
        <f t="shared" si="153"/>
        <v>0</v>
      </c>
      <c r="CM118">
        <f t="shared" si="154"/>
        <v>0</v>
      </c>
    </row>
    <row r="119" spans="2:91" ht="15.75" thickBot="1" x14ac:dyDescent="0.3">
      <c r="B119">
        <f t="shared" si="155"/>
        <v>0</v>
      </c>
      <c r="C119" s="16">
        <v>111</v>
      </c>
      <c r="D119" s="15" t="str">
        <f>IF('Front sheet'!L36="","",'Front sheet'!$L36)</f>
        <v/>
      </c>
      <c r="E119" s="149" t="e">
        <f>IF('Front sheet'!N36="",NA(),'Front sheet'!N36)</f>
        <v>#N/A</v>
      </c>
      <c r="F119" s="196" t="e">
        <f>IF('Front sheet'!N36="",NA(),'Front sheet'!M36/'Front sheet'!N36)</f>
        <v>#N/A</v>
      </c>
      <c r="G119" s="205">
        <f t="shared" ca="1" si="156"/>
        <v>0.87525423728813556</v>
      </c>
      <c r="H119" s="201" t="e">
        <f t="shared" ca="1" si="123"/>
        <v>#N/A</v>
      </c>
      <c r="I119" s="157" t="e">
        <f t="shared" ca="1" si="124"/>
        <v>#N/A</v>
      </c>
      <c r="J119" s="151" t="e">
        <f>IF('Front sheet'!N36="",NA(),'Front sheet'!M36)</f>
        <v>#N/A</v>
      </c>
      <c r="K119" s="10" t="str">
        <f t="shared" si="157"/>
        <v/>
      </c>
      <c r="L119" s="9" t="e">
        <f t="shared" ca="1" si="158"/>
        <v>#N/A</v>
      </c>
      <c r="M119" s="8" t="e">
        <f t="shared" ca="1" si="159"/>
        <v>#N/A</v>
      </c>
      <c r="N119" t="e">
        <f t="shared" ca="1" si="160"/>
        <v>#N/A</v>
      </c>
      <c r="O119" s="8" t="e">
        <f t="shared" ca="1" si="147"/>
        <v>#N/A</v>
      </c>
      <c r="P119" t="e">
        <f t="shared" ca="1" si="161"/>
        <v>#N/A</v>
      </c>
      <c r="Q119" s="8">
        <f>IF(ISERROR($F119),0,IF($F119&gt;$H119,MAX($Q$8:Q118)+1,0))</f>
        <v>0</v>
      </c>
      <c r="R119" s="8">
        <f>IF(ISERROR($F119),0,IF($F119&lt;$I119,MAX($R$8:R118)+1,0))</f>
        <v>0</v>
      </c>
      <c r="T119" s="8">
        <f t="shared" si="162"/>
        <v>0</v>
      </c>
      <c r="U119" s="8">
        <f t="shared" ca="1" si="180"/>
        <v>0</v>
      </c>
      <c r="W119" s="8">
        <f t="shared" si="163"/>
        <v>0</v>
      </c>
      <c r="X119" s="8">
        <f t="shared" ca="1" si="181"/>
        <v>0</v>
      </c>
      <c r="Z119" s="8">
        <f t="shared" si="164"/>
        <v>0</v>
      </c>
      <c r="AA119" s="8">
        <f t="shared" si="178"/>
        <v>0</v>
      </c>
      <c r="AC119" s="8">
        <f t="shared" si="165"/>
        <v>0</v>
      </c>
      <c r="AD119" s="8">
        <f t="shared" si="179"/>
        <v>0</v>
      </c>
      <c r="AF119" s="8">
        <f t="shared" si="129"/>
        <v>0</v>
      </c>
      <c r="AG119" s="8">
        <f t="shared" si="130"/>
        <v>0</v>
      </c>
      <c r="AH119" s="8">
        <f t="shared" si="131"/>
        <v>0</v>
      </c>
      <c r="AI119" s="8">
        <f>IF(AH119=0,0,IF(AND(AH119=1,SUM(AH117:AH119)&gt;=2),1,IF(AND(AH119=1,SUM(AH118:AH120)&gt;=2),1,IF(AND(AH119=1,SUM(AH119:AH121)&gt;=2),1,0))))</f>
        <v>0</v>
      </c>
      <c r="AK119" s="11" t="e">
        <f t="shared" si="109"/>
        <v>#N/A</v>
      </c>
      <c r="AL119" s="8"/>
      <c r="AN119" s="8"/>
      <c r="AO119" s="8"/>
      <c r="AP119" s="8" t="e">
        <f>IF(C119&lt;=$E$3,IF(OR('Front sheet'!$Q$3="",'Front sheet'!$Q$3=0),NA(),'Front sheet'!$Q$3),NA())</f>
        <v>#N/A</v>
      </c>
      <c r="AQ119" s="8" t="e">
        <f t="shared" ca="1" si="133"/>
        <v>#N/A</v>
      </c>
      <c r="AR119" s="8" t="e">
        <f t="shared" ca="1" si="134"/>
        <v>#N/A</v>
      </c>
      <c r="AS119" s="8" t="e">
        <f t="shared" ca="1" si="135"/>
        <v>#N/A</v>
      </c>
      <c r="AT119" s="8" t="e">
        <f t="shared" ca="1" si="136"/>
        <v>#N/A</v>
      </c>
      <c r="AU119" s="8" t="e">
        <f t="shared" si="110"/>
        <v>#N/A</v>
      </c>
      <c r="AV119" s="8" t="e">
        <f t="shared" ca="1" si="137"/>
        <v>#N/A</v>
      </c>
      <c r="AX119" s="7" t="str">
        <f t="shared" si="166"/>
        <v/>
      </c>
      <c r="AY119" s="2" t="str">
        <f t="shared" si="167"/>
        <v/>
      </c>
      <c r="BA119" s="2">
        <v>111</v>
      </c>
      <c r="BB119">
        <f t="shared" ca="1" si="168"/>
        <v>3</v>
      </c>
      <c r="BC119" s="14" t="str">
        <f t="shared" si="169"/>
        <v/>
      </c>
      <c r="BD119" s="5" t="e">
        <f t="shared" si="148"/>
        <v>#N/A</v>
      </c>
      <c r="BE119" s="5" t="e">
        <f t="shared" si="149"/>
        <v>#N/A</v>
      </c>
      <c r="BF119" s="5" t="e">
        <f t="shared" si="150"/>
        <v>#N/A</v>
      </c>
      <c r="BG119" s="5" t="e">
        <f t="shared" si="151"/>
        <v>#N/A</v>
      </c>
      <c r="BH119" s="5" t="e">
        <f t="shared" si="152"/>
        <v>#N/A</v>
      </c>
      <c r="BI119">
        <f t="shared" ca="1" si="170"/>
        <v>1</v>
      </c>
      <c r="BJ119" s="158" t="e">
        <f t="shared" si="171"/>
        <v>#N/A</v>
      </c>
      <c r="BK119" s="158" t="e">
        <f t="shared" si="172"/>
        <v>#N/A</v>
      </c>
      <c r="BL119" s="158" t="e">
        <f t="shared" si="173"/>
        <v>#N/A</v>
      </c>
      <c r="BM119" s="158" t="e">
        <f t="shared" si="174"/>
        <v>#N/A</v>
      </c>
      <c r="BN119" s="19"/>
      <c r="BQ119" s="4">
        <v>111</v>
      </c>
      <c r="BR119" s="4" t="e">
        <f t="shared" si="138"/>
        <v>#N/A</v>
      </c>
      <c r="BS119" s="4" t="e">
        <f t="shared" si="139"/>
        <v>#N/A</v>
      </c>
      <c r="BT119" s="4" t="e">
        <f t="shared" si="140"/>
        <v>#N/A</v>
      </c>
      <c r="BV119" s="4">
        <v>111</v>
      </c>
      <c r="BW119" s="4" t="e">
        <f t="shared" si="141"/>
        <v>#N/A</v>
      </c>
      <c r="BX119" s="4" t="e">
        <f t="shared" si="142"/>
        <v>#N/A</v>
      </c>
      <c r="BZ119" s="4">
        <v>111</v>
      </c>
      <c r="CA119" s="4" t="e">
        <f t="shared" si="143"/>
        <v>#N/A</v>
      </c>
      <c r="CB119" s="4" t="e">
        <f t="shared" si="144"/>
        <v>#N/A</v>
      </c>
      <c r="CC119" s="4" t="e">
        <f t="shared" si="145"/>
        <v>#N/A</v>
      </c>
      <c r="CD119" s="4" t="e">
        <f t="shared" si="146"/>
        <v>#N/A</v>
      </c>
      <c r="CG119" s="4">
        <v>111</v>
      </c>
      <c r="CH119" s="4" t="e">
        <f t="shared" si="175"/>
        <v>#N/A</v>
      </c>
      <c r="CI119" s="4" t="e">
        <f t="shared" si="176"/>
        <v>#N/A</v>
      </c>
      <c r="CJ119" s="4" t="e">
        <f t="shared" si="177"/>
        <v>#N/A</v>
      </c>
      <c r="CL119">
        <f t="shared" si="153"/>
        <v>0</v>
      </c>
      <c r="CM119">
        <f t="shared" si="154"/>
        <v>0</v>
      </c>
    </row>
    <row r="120" spans="2:91" ht="15.75" thickBot="1" x14ac:dyDescent="0.3">
      <c r="B120">
        <f t="shared" si="155"/>
        <v>0</v>
      </c>
      <c r="C120" s="13">
        <v>112</v>
      </c>
      <c r="D120" s="12" t="str">
        <f>IF('Front sheet'!L37="","",'Front sheet'!$L37)</f>
        <v/>
      </c>
      <c r="E120" s="194" t="e">
        <f>IF('Front sheet'!N37="",NA(),'Front sheet'!N37)</f>
        <v>#N/A</v>
      </c>
      <c r="F120" s="197" t="e">
        <f>IF('Front sheet'!N37="",NA(),'Front sheet'!M37/'Front sheet'!N37)</f>
        <v>#N/A</v>
      </c>
      <c r="G120" s="207">
        <f t="shared" ca="1" si="156"/>
        <v>0.87525423728813556</v>
      </c>
      <c r="H120" s="202" t="e">
        <f t="shared" ca="1" si="123"/>
        <v>#N/A</v>
      </c>
      <c r="I120" s="193" t="e">
        <f t="shared" ca="1" si="124"/>
        <v>#N/A</v>
      </c>
      <c r="J120" s="153" t="e">
        <f>IF('Front sheet'!N37="",NA(),'Front sheet'!M37)</f>
        <v>#N/A</v>
      </c>
      <c r="K120" s="10" t="str">
        <f t="shared" si="157"/>
        <v/>
      </c>
      <c r="L120" s="9" t="e">
        <f t="shared" ca="1" si="158"/>
        <v>#N/A</v>
      </c>
      <c r="M120" s="8" t="e">
        <f t="shared" ca="1" si="159"/>
        <v>#N/A</v>
      </c>
      <c r="N120" t="e">
        <f t="shared" ca="1" si="160"/>
        <v>#N/A</v>
      </c>
      <c r="O120" s="8" t="e">
        <f t="shared" ca="1" si="147"/>
        <v>#N/A</v>
      </c>
      <c r="P120" t="e">
        <f t="shared" ca="1" si="161"/>
        <v>#N/A</v>
      </c>
      <c r="Q120" s="8">
        <f>IF(ISERROR($F120),0,IF($F120&gt;$H120,MAX($Q$8:Q119)+1,0))</f>
        <v>0</v>
      </c>
      <c r="R120" s="8">
        <f>IF(ISERROR($F120),0,IF($F120&lt;$I120,MAX($R$8:R119)+1,0))</f>
        <v>0</v>
      </c>
      <c r="T120" s="8">
        <f t="shared" si="162"/>
        <v>0</v>
      </c>
      <c r="U120" s="8">
        <f t="shared" ca="1" si="180"/>
        <v>0</v>
      </c>
      <c r="W120" s="8">
        <f t="shared" si="163"/>
        <v>0</v>
      </c>
      <c r="X120" s="8">
        <f t="shared" ca="1" si="181"/>
        <v>0</v>
      </c>
      <c r="Z120" s="8">
        <f t="shared" si="164"/>
        <v>0</v>
      </c>
      <c r="AA120" s="8">
        <f t="shared" si="178"/>
        <v>0</v>
      </c>
      <c r="AC120" s="8">
        <f t="shared" si="165"/>
        <v>0</v>
      </c>
      <c r="AD120" s="8">
        <f t="shared" si="179"/>
        <v>0</v>
      </c>
      <c r="AF120" s="8">
        <f t="shared" si="129"/>
        <v>0</v>
      </c>
      <c r="AG120" s="8">
        <f t="shared" si="130"/>
        <v>0</v>
      </c>
      <c r="AH120" s="8">
        <f t="shared" si="131"/>
        <v>0</v>
      </c>
      <c r="AI120" s="8">
        <f>IF(AH120=0,0,IF(AND(AH120=1,SUM(AH118:AH120)&gt;=2),1,IF(AND(AH120=1,SUM(AH119:AH121)&gt;=2),1,IF(AND(AH120=1,SUM(AH120:AH122)&gt;=2),1,0))))</f>
        <v>0</v>
      </c>
      <c r="AK120" s="11" t="e">
        <f t="shared" si="109"/>
        <v>#N/A</v>
      </c>
      <c r="AL120" s="8"/>
      <c r="AN120" s="8"/>
      <c r="AO120" s="8"/>
      <c r="AP120" s="8" t="e">
        <f>IF(C120&lt;=$E$3,IF(OR('Front sheet'!$Q$3="",'Front sheet'!$Q$3=0),NA(),'Front sheet'!$Q$3),NA())</f>
        <v>#N/A</v>
      </c>
      <c r="AQ120" s="8" t="e">
        <f t="shared" ca="1" si="133"/>
        <v>#N/A</v>
      </c>
      <c r="AR120" s="8" t="e">
        <f t="shared" ca="1" si="134"/>
        <v>#N/A</v>
      </c>
      <c r="AS120" s="8" t="e">
        <f t="shared" ca="1" si="135"/>
        <v>#N/A</v>
      </c>
      <c r="AT120" s="8" t="e">
        <f t="shared" ca="1" si="136"/>
        <v>#N/A</v>
      </c>
      <c r="AU120" s="8" t="e">
        <f t="shared" si="110"/>
        <v>#N/A</v>
      </c>
      <c r="AV120" s="8" t="e">
        <f t="shared" ca="1" si="137"/>
        <v>#N/A</v>
      </c>
      <c r="AX120" s="7" t="str">
        <f t="shared" si="166"/>
        <v/>
      </c>
      <c r="AY120" s="2" t="str">
        <f t="shared" si="167"/>
        <v/>
      </c>
      <c r="BA120" s="2">
        <v>112</v>
      </c>
      <c r="BB120">
        <f t="shared" ca="1" si="168"/>
        <v>3</v>
      </c>
      <c r="BC120" s="6" t="str">
        <f t="shared" si="169"/>
        <v/>
      </c>
      <c r="BD120" s="5" t="e">
        <f t="shared" si="148"/>
        <v>#N/A</v>
      </c>
      <c r="BE120" s="5" t="e">
        <f t="shared" si="149"/>
        <v>#N/A</v>
      </c>
      <c r="BF120" s="5" t="e">
        <f t="shared" si="150"/>
        <v>#N/A</v>
      </c>
      <c r="BG120" s="5" t="e">
        <f t="shared" si="151"/>
        <v>#N/A</v>
      </c>
      <c r="BH120" s="5" t="e">
        <f t="shared" si="152"/>
        <v>#N/A</v>
      </c>
      <c r="BI120">
        <f t="shared" ca="1" si="170"/>
        <v>1</v>
      </c>
      <c r="BJ120" s="158" t="e">
        <f t="shared" si="171"/>
        <v>#N/A</v>
      </c>
      <c r="BK120" s="158" t="e">
        <f t="shared" si="172"/>
        <v>#N/A</v>
      </c>
      <c r="BL120" s="158" t="e">
        <f t="shared" si="173"/>
        <v>#N/A</v>
      </c>
      <c r="BM120" s="158" t="e">
        <f t="shared" si="174"/>
        <v>#N/A</v>
      </c>
      <c r="BN120" s="19"/>
      <c r="BQ120" s="4">
        <v>112</v>
      </c>
      <c r="BR120" s="4" t="e">
        <f t="shared" si="138"/>
        <v>#N/A</v>
      </c>
      <c r="BS120" s="4" t="e">
        <f t="shared" si="139"/>
        <v>#N/A</v>
      </c>
      <c r="BT120" s="4" t="e">
        <f t="shared" si="140"/>
        <v>#N/A</v>
      </c>
      <c r="BV120" s="4">
        <v>112</v>
      </c>
      <c r="BW120" s="4" t="e">
        <f t="shared" si="141"/>
        <v>#N/A</v>
      </c>
      <c r="BX120" s="4" t="e">
        <f t="shared" si="142"/>
        <v>#N/A</v>
      </c>
      <c r="BZ120" s="4">
        <v>112</v>
      </c>
      <c r="CA120" s="4" t="e">
        <f t="shared" si="143"/>
        <v>#N/A</v>
      </c>
      <c r="CB120" s="4" t="e">
        <f t="shared" si="144"/>
        <v>#N/A</v>
      </c>
      <c r="CC120" s="4" t="e">
        <f t="shared" si="145"/>
        <v>#N/A</v>
      </c>
      <c r="CD120" s="4" t="e">
        <f t="shared" si="146"/>
        <v>#N/A</v>
      </c>
      <c r="CG120" s="4">
        <v>112</v>
      </c>
      <c r="CH120" s="4" t="e">
        <f t="shared" si="175"/>
        <v>#N/A</v>
      </c>
      <c r="CI120" s="4" t="e">
        <f t="shared" si="176"/>
        <v>#N/A</v>
      </c>
      <c r="CJ120" s="4" t="e">
        <f t="shared" si="177"/>
        <v>#N/A</v>
      </c>
      <c r="CL120">
        <f t="shared" si="153"/>
        <v>0</v>
      </c>
      <c r="CM120">
        <f t="shared" si="154"/>
        <v>0</v>
      </c>
    </row>
    <row r="121" spans="2:91" x14ac:dyDescent="0.25">
      <c r="BN121" s="19"/>
    </row>
    <row r="124" spans="2:91" x14ac:dyDescent="0.25">
      <c r="G124" s="3" t="e">
        <f ca="1">SUM(Tally3)/SUM(Denom3)</f>
        <v>#REF!</v>
      </c>
    </row>
  </sheetData>
  <autoFilter ref="AX7:AY7" xr:uid="{00000000-0009-0000-0000-000003000000}"/>
  <mergeCells count="17">
    <mergeCell ref="G1:O1"/>
    <mergeCell ref="G2:O2"/>
    <mergeCell ref="G3:O3"/>
    <mergeCell ref="G4:O4"/>
    <mergeCell ref="Q4:R4"/>
    <mergeCell ref="BQ7:BT7"/>
    <mergeCell ref="BV7:BX7"/>
    <mergeCell ref="CG7:CI7"/>
    <mergeCell ref="AN4:AO4"/>
    <mergeCell ref="G6:O6"/>
    <mergeCell ref="AK4:AL4"/>
    <mergeCell ref="T4:V4"/>
    <mergeCell ref="Z4:AB4"/>
    <mergeCell ref="G5:O5"/>
    <mergeCell ref="AF5:AG5"/>
    <mergeCell ref="AH5:AI5"/>
    <mergeCell ref="BZ7:CD7"/>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388CBA714C67445A7637C57AFF13745" ma:contentTypeVersion="12" ma:contentTypeDescription="Create a new document." ma:contentTypeScope="" ma:versionID="6f36db17aa4ff0a291fc6b43e7eb8336">
  <xsd:schema xmlns:xsd="http://www.w3.org/2001/XMLSchema" xmlns:xs="http://www.w3.org/2001/XMLSchema" xmlns:p="http://schemas.microsoft.com/office/2006/metadata/properties" xmlns:ns2="a3a155f4-855a-4d7b-9ef2-804c5f0d3989" xmlns:ns3="83ff2bba-8eb1-4f0d-ba45-c155e19144f0" targetNamespace="http://schemas.microsoft.com/office/2006/metadata/properties" ma:root="true" ma:fieldsID="a01907ae245892b9923076b5a1ea3695" ns2:_="" ns3:_="">
    <xsd:import namespace="a3a155f4-855a-4d7b-9ef2-804c5f0d3989"/>
    <xsd:import namespace="83ff2bba-8eb1-4f0d-ba45-c155e19144f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155f4-855a-4d7b-9ef2-804c5f0d398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3ff2bba-8eb1-4f0d-ba45-c155e19144f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AB14C8-0A09-4333-95CD-8C359091A094}">
  <ds:schemaRefs>
    <ds:schemaRef ds:uri="http://schemas.microsoft.com/sharepoint/v3/contenttype/forms"/>
  </ds:schemaRefs>
</ds:datastoreItem>
</file>

<file path=customXml/itemProps2.xml><?xml version="1.0" encoding="utf-8"?>
<ds:datastoreItem xmlns:ds="http://schemas.openxmlformats.org/officeDocument/2006/customXml" ds:itemID="{19A6761F-8249-4A60-953F-82A9444D840C}">
  <ds:schemaRefs>
    <ds:schemaRef ds:uri="http://schemas.microsoft.com/office/2006/documentManagement/types"/>
    <ds:schemaRef ds:uri="http://schemas.microsoft.com/office/infopath/2007/PartnerControls"/>
    <ds:schemaRef ds:uri="http://purl.org/dc/elements/1.1/"/>
    <ds:schemaRef ds:uri="83ff2bba-8eb1-4f0d-ba45-c155e19144f0"/>
    <ds:schemaRef ds:uri="http://schemas.openxmlformats.org/package/2006/metadata/core-properties"/>
    <ds:schemaRef ds:uri="http://www.w3.org/XML/1998/namespace"/>
    <ds:schemaRef ds:uri="http://purl.org/dc/terms/"/>
    <ds:schemaRef ds:uri="http://schemas.microsoft.com/office/2006/metadata/properties"/>
    <ds:schemaRef ds:uri="a3a155f4-855a-4d7b-9ef2-804c5f0d3989"/>
    <ds:schemaRef ds:uri="http://purl.org/dc/dcmitype/"/>
  </ds:schemaRefs>
</ds:datastoreItem>
</file>

<file path=customXml/itemProps3.xml><?xml version="1.0" encoding="utf-8"?>
<ds:datastoreItem xmlns:ds="http://schemas.openxmlformats.org/officeDocument/2006/customXml" ds:itemID="{59639914-DE3C-441F-B150-31955284A6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155f4-855a-4d7b-9ef2-804c5f0d3989"/>
    <ds:schemaRef ds:uri="83ff2bba-8eb1-4f0d-ba45-c155e19144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Version</vt:lpstr>
      <vt:lpstr>Instructions</vt:lpstr>
      <vt:lpstr>Front sheet</vt:lpstr>
      <vt:lpstr>Work sheet 1</vt:lpstr>
      <vt:lpstr>Date_format</vt:lpstr>
      <vt:lpstr>Improvement</vt:lpstr>
      <vt:lpstr>Number_type</vt:lpstr>
      <vt:lpstr>period</vt:lpstr>
      <vt:lpstr>Rotate</vt:lpstr>
      <vt:lpstr>Yes</vt:lpstr>
      <vt:lpstr>YEs_no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Hayllar</dc:creator>
  <cp:lastModifiedBy>Nathan Proudlove</cp:lastModifiedBy>
  <dcterms:created xsi:type="dcterms:W3CDTF">2020-03-10T12:08:47Z</dcterms:created>
  <dcterms:modified xsi:type="dcterms:W3CDTF">2025-04-01T22:35:13Z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0x0101007388CBA714C67445A7637C57AFF13745</vt:lpwstr>
  </property>
</Properties>
</file>